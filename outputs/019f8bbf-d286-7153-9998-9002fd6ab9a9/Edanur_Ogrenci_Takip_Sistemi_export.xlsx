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4f269428745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Ana" sheetId="1" r:id="R626dcd5afc6a4a01"/>
    <x:sheet xmlns:r="http://schemas.openxmlformats.org/officeDocument/2006/relationships" name="01_Panel_Program" sheetId="2" r:id="Rdabd8d31848d46af"/>
    <x:sheet xmlns:r="http://schemas.openxmlformats.org/officeDocument/2006/relationships" name="02_Öğrenciler" sheetId="3" r:id="R0bbed7defb644d63"/>
    <x:sheet xmlns:r="http://schemas.openxmlformats.org/officeDocument/2006/relationships" name="03_Ders_Girişi" sheetId="4" r:id="Rcb4453697f1947e5"/>
    <x:sheet xmlns:r="http://schemas.openxmlformats.org/officeDocument/2006/relationships" name="04_Ödev_Konu" sheetId="5" r:id="R7aba043466ba4e1c"/>
    <x:sheet xmlns:r="http://schemas.openxmlformats.org/officeDocument/2006/relationships" name="05_Sınavlar" sheetId="6" r:id="R8eddd67a5c194c79"/>
    <x:sheet xmlns:r="http://schemas.openxmlformats.org/officeDocument/2006/relationships" name="06_Veli_Ödeme" sheetId="7" r:id="Rc15c505509864b9f"/>
    <x:sheet xmlns:r="http://schemas.openxmlformats.org/officeDocument/2006/relationships" name="07_Google_Form" sheetId="8" r:id="Rfe240f89a4774f9a"/>
    <x:sheet xmlns:r="http://schemas.openxmlformats.org/officeDocument/2006/relationships" name="08_Google_Kurulum" sheetId="9" r:id="Re0acae89a352416b"/>
    <x:sheet xmlns:r="http://schemas.openxmlformats.org/officeDocument/2006/relationships" name="09_Parametreler" sheetId="10" r:id="R14406799bac3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dd.mm.yyyy"/>
    <x:numFmt numFmtId="201" formatCode="0"/>
    <x:numFmt numFmtId="202" formatCode="@"/>
    <x:numFmt numFmtId="203" formatCode="0%"/>
    <x:numFmt numFmtId="204" formatCode="0.00"/>
    <x:numFmt numFmtId="205" formatCode="₺ #,##0.00"/>
    <x:numFmt numFmtId="206" formatCode="hh:mm"/>
    <x:numFmt numFmtId="207" formatCode="dd.mm.yyyy hh:mm"/>
  </x:numFmts>
  <x:fonts count="8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7"/>
      <x:color rgb="FF17365D"/>
      <x:name val="Carlito"/>
    </x:font>
    <x:font>
      <x:b/>
      <x:sz val="13"/>
      <x:color rgb="FF9C0006"/>
      <x:name val="Carlito"/>
    </x:font>
    <x:font>
      <x:b/>
      <x:sz val="13"/>
      <x:color rgb="FF00610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0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2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5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/>
    <x:xf numFmtId="203" fontId="0" fillId="6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6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/>
    <x:xf numFmtId="204" fontId="0" fillId="6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6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 wrapText="1"/>
    </x:xf>
    <x:xf numFmtId="203" fontId="0" fillId="5" borderId="1" xfId="0" applyNumberFormat="1" applyFont="1" applyFill="1" applyBorder="1" applyAlignment="1">
      <x:alignment vertical="center" wrapText="1"/>
    </x:xf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3" fontId="0" fillId="7" borderId="0" xfId="0" applyNumberFormat="1" applyFont="1" applyFill="1" applyBorder="1"/>
    <x:xf numFmtId="200" fontId="4" fillId="7" borderId="0" xfId="0" applyNumberFormat="1" applyFont="1" applyFill="1" applyBorder="1"/>
    <x:xf numFmtId="201" fontId="4" fillId="7" borderId="0" xfId="0" applyNumberFormat="1" applyFont="1" applyFill="1" applyBorder="1"/>
    <x:xf numFmtId="203" fontId="4" fillId="7" borderId="0" xfId="0" applyNumberFormat="1" applyFont="1" applyFill="1" applyBorder="1"/>
    <x:xf numFmtId="200" fontId="4" fillId="7" borderId="0" xfId="0" applyNumberFormat="1" applyFont="1" applyFill="1" applyBorder="1" applyAlignment="1">
      <x:alignment vertical="center"/>
    </x:xf>
    <x:xf numFmtId="201" fontId="4" fillId="7" borderId="0" xfId="0" applyNumberFormat="1" applyFont="1" applyFill="1" applyBorder="1" applyAlignment="1">
      <x:alignment vertical="center"/>
    </x:xf>
    <x:xf numFmtId="203" fontId="4" fillId="7" borderId="0" xfId="0" applyNumberFormat="1" applyFont="1" applyFill="1" applyBorder="1" applyAlignment="1">
      <x:alignment vertical="center"/>
    </x:xf>
    <x:xf numFmtId="200" fontId="0" fillId="7" borderId="1" xfId="0" applyNumberFormat="1" applyFont="1" applyFill="1" applyBorder="1"/>
    <x:xf numFmtId="201" fontId="0" fillId="7" borderId="1" xfId="0" applyNumberFormat="1" applyFont="1" applyFill="1" applyBorder="1"/>
    <x:xf numFmtId="203" fontId="0" fillId="7" borderId="1" xfId="0" applyNumberFormat="1" applyFont="1" applyFill="1" applyBorder="1"/>
    <x:xf numFmtId="200" fontId="4" fillId="7" borderId="1" xfId="0" applyNumberFormat="1" applyFont="1" applyFill="1" applyBorder="1"/>
    <x:xf numFmtId="201" fontId="4" fillId="7" borderId="1" xfId="0" applyNumberFormat="1" applyFont="1" applyFill="1" applyBorder="1"/>
    <x:xf numFmtId="203" fontId="4" fillId="7" borderId="1" xfId="0" applyNumberFormat="1" applyFont="1" applyFill="1" applyBorder="1"/>
    <x:xf numFmtId="200" fontId="4" fillId="7" borderId="1" xfId="0" applyNumberFormat="1" applyFont="1" applyFill="1" applyBorder="1" applyAlignment="1">
      <x:alignment vertical="center"/>
    </x:xf>
    <x:xf numFmtId="201" fontId="4" fillId="7" borderId="1" xfId="0" applyNumberFormat="1" applyFont="1" applyFill="1" applyBorder="1" applyAlignment="1">
      <x:alignment vertical="center"/>
    </x:xf>
    <x:xf numFmtId="203" fontId="4" fillId="7" borderId="1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3" fontId="0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203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3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center" wrapText="1"/>
    </x:xf>
    <x:xf numFmtId="201" fontId="3" fillId="4" borderId="0" xfId="0" applyNumberFormat="1" applyFont="1" applyFill="1" applyBorder="1" applyAlignment="1">
      <x:alignment horizontal="center" wrapText="1"/>
    </x:xf>
    <x:xf numFmtId="203" fontId="3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203" fontId="0" fillId="4" borderId="1" xfId="0" applyNumberFormat="1" applyFont="1" applyFill="1" applyBorder="1"/>
    <x:xf numFmtId="200" fontId="3" fillId="4" borderId="1" xfId="0" applyNumberFormat="1" applyFont="1" applyFill="1" applyBorder="1"/>
    <x:xf numFmtId="201" fontId="3" fillId="4" borderId="1" xfId="0" applyNumberFormat="1" applyFont="1" applyFill="1" applyBorder="1"/>
    <x:xf numFmtId="203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  <x:xf numFmtId="201" fontId="3" fillId="4" borderId="1" xfId="0" applyNumberFormat="1" applyFont="1" applyFill="1" applyBorder="1" applyAlignment="1">
      <x:alignment wrapText="1"/>
    </x:xf>
    <x:xf numFmtId="203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wrapText="1"/>
    </x:xf>
    <x:xf numFmtId="201" fontId="3" fillId="4" borderId="1" xfId="0" applyNumberFormat="1" applyFont="1" applyFill="1" applyBorder="1" applyAlignment="1">
      <x:alignment horizontal="center" wrapText="1"/>
    </x:xf>
    <x:xf numFmtId="203" fontId="3" fillId="4" borderId="1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/>
    <x:xf numFmtId="200" fontId="0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/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/>
    <x:xf numFmtId="203" fontId="0" fillId="5" borderId="1" xfId="0" applyNumberFormat="1" applyFont="1" applyFill="1" applyBorder="1" applyAlignment="1">
      <x:alignment wrapText="1"/>
    </x:xf>
    <x:xf numFmtId="201" fontId="0" fillId="6" borderId="0" xfId="0" applyNumberFormat="1" applyFont="1" applyFill="1" applyBorder="1"/>
    <x:xf numFmtId="201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/>
    <x:xf numFmtId="201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/>
    <x:xf numFmtId="20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vertical="center" wrapText="1"/>
    </x:xf>
    <x:xf numFmtId="205" fontId="0" fillId="5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5" fontId="0" fillId="5" borderId="1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/>
    <x:xf numFmtId="205" fontId="0" fillId="6" borderId="0" xfId="0" applyNumberFormat="1" applyFont="1" applyFill="1" applyBorder="1" applyAlignment="1">
      <x:alignment vertical="center" wrapText="1"/>
    </x:xf>
    <x:xf numFmtId="205" fontId="0" fillId="6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/>
    </x:xf>
    <x:xf numFmtId="203" fontId="5" fillId="8" borderId="0" xfId="0" applyNumberFormat="1" applyFont="1" applyFill="1" applyBorder="1" applyAlignment="1">
      <x:alignment horizontal="center" vertical="center"/>
    </x:xf>
    <x:xf numFmtId="203" fontId="5" fillId="8" borderId="1" xfId="0" applyNumberFormat="1" applyFont="1" applyFill="1" applyBorder="1" applyAlignment="1">
      <x:alignment horizontal="center" vertical="center"/>
    </x:xf>
    <x:xf numFmtId="204" fontId="5" fillId="8" borderId="0" xfId="0" applyNumberFormat="1" applyFont="1" applyFill="1" applyBorder="1" applyAlignment="1">
      <x:alignment horizontal="center" vertical="center"/>
    </x:xf>
    <x:xf numFmtId="204" fontId="5" fillId="8" borderId="1" xfId="0" applyNumberFormat="1" applyFont="1" applyFill="1" applyBorder="1" applyAlignment="1">
      <x:alignment horizontal="center" vertical="center"/>
    </x:xf>
    <x:xf numFmtId="206" fontId="0" fillId="5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06" fontId="0" fillId="5" borderId="1" xfId="0" applyNumberFormat="1" applyFont="1" applyFill="1" applyBorder="1" applyAlignment="1">
      <x:alignment vertical="center" wrapText="1"/>
    </x:xf>
    <x:xf numFmtId="206" fontId="0" fillId="0" borderId="1" xfId="0" applyNumberFormat="1" applyFont="1" applyFill="1" applyBorder="1"/>
    <x:xf numFmtId="207" fontId="0" fillId="5" borderId="0" xfId="0" applyNumberFormat="1" applyFont="1" applyFill="1" applyBorder="1" applyAlignment="1">
      <x:alignment vertical="center" wrapText="1"/>
    </x:xf>
    <x:xf numFmtId="207" fontId="0" fillId="5" borderId="1" xfId="0" applyNumberFormat="1" applyFont="1" applyFill="1" applyBorder="1" applyAlignment="1">
      <x:alignment vertical="center" wrapText="1"/>
    </x:xf>
    <x:xf numFmtId="207" fontId="0" fillId="6" borderId="0" xfId="0" applyNumberFormat="1" applyFont="1" applyFill="1" applyBorder="1" applyAlignment="1">
      <x:alignment vertical="center" wrapText="1"/>
    </x:xf>
    <x:xf numFmtId="207" fontId="0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6" fillId="10" borderId="0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8"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601647874476a" /><Relationship Type="http://schemas.openxmlformats.org/officeDocument/2006/relationships/theme" Target="/xl/theme/theme1.xml" Id="Ref8ee631ece14fd3" /><Relationship Type="http://schemas.openxmlformats.org/officeDocument/2006/relationships/sharedStrings" Target="/xl/sharedStrings.xml" Id="R2753f407cda74bb7" /><Relationship Type="http://schemas.openxmlformats.org/officeDocument/2006/relationships/worksheet" Target="/xl/worksheets/sheet1.xml" Id="R626dcd5afc6a4a01" /><Relationship Type="http://schemas.openxmlformats.org/officeDocument/2006/relationships/worksheet" Target="/xl/worksheets/sheet2.xml" Id="Rdabd8d31848d46af" /><Relationship Type="http://schemas.openxmlformats.org/officeDocument/2006/relationships/worksheet" Target="/xl/worksheets/sheet3.xml" Id="R0bbed7defb644d63" /><Relationship Type="http://schemas.openxmlformats.org/officeDocument/2006/relationships/worksheet" Target="/xl/worksheets/sheet4.xml" Id="Rcb4453697f1947e5" /><Relationship Type="http://schemas.openxmlformats.org/officeDocument/2006/relationships/worksheet" Target="/xl/worksheets/sheet5.xml" Id="R7aba043466ba4e1c" /><Relationship Type="http://schemas.openxmlformats.org/officeDocument/2006/relationships/worksheet" Target="/xl/worksheets/sheet6.xml" Id="R8eddd67a5c194c79" /><Relationship Type="http://schemas.openxmlformats.org/officeDocument/2006/relationships/worksheet" Target="/xl/worksheets/sheet7.xml" Id="Rc15c505509864b9f" /><Relationship Type="http://schemas.openxmlformats.org/officeDocument/2006/relationships/worksheet" Target="/xl/worksheets/sheet8.xml" Id="Rfe240f89a4774f9a" /><Relationship Type="http://schemas.openxmlformats.org/officeDocument/2006/relationships/worksheet" Target="/xl/worksheets/sheet9.xml" Id="Re0acae89a352416b" /><Relationship Type="http://schemas.openxmlformats.org/officeDocument/2006/relationships/worksheet" Target="/xl/worksheets/sheet10.xml" Id="R14406799bac34663" /></Relationships>
</file>

<file path=xl/tables/table1.xml><?xml version="1.0" encoding="utf-8"?>
<x:table xmlns:x="http://schemas.openxmlformats.org/spreadsheetml/2006/main" id="11" name="tblRegresyonTestleri" displayName="tblRegresyonTestleri" ref="A24:J50" headerRowCount="1">
  <x:tableColumns count="10">
    <x:tableColumn id="1" name="Test ID"/>
    <x:tableColumn id="2" name="Kategori"/>
    <x:tableColumn id="3" name="Test"/>
    <x:tableColumn id="4" name="Beklenen"/>
    <x:tableColumn id="5" name="Gerçekleşen"/>
    <x:tableColumn id="6" name="Sonuç"/>
    <x:tableColumn id="7" name="Kanıt"/>
    <x:tableColumn id="8" name="Sıklık"/>
    <x:tableColumn id="9" name="Kritiklik"/>
    <x:tableColumn id="10" name="Not"/>
  </x:tableColumns>
  <x:tableStyleInfo name="TableStyleMedium2" showRowStripes="1"/>
</x:table>
</file>

<file path=xl/tables/table2.xml><?xml version="1.0" encoding="utf-8"?>
<x:table xmlns:x="http://schemas.openxmlformats.org/spreadsheetml/2006/main" id="8" name="tblProgram" displayName="tblProgram" ref="A18:M24" headerRowCount="1">
  <x:tableColumns count="13">
    <x:tableColumn id="1" name="Gün"/>
    <x:tableColumn id="2" name="Tarih"/>
    <x:tableColumn id="3" name="Başlangıç"/>
    <x:tableColumn id="4" name="Öğrenci Kodu"/>
    <x:tableColumn id="5" name="Ad Soyad"/>
    <x:tableColumn id="6" name="İşlenecek Konu / Hedef"/>
    <x:tableColumn id="7" name="Kontrol Edilecek Ödev"/>
    <x:tableColumn id="8" name="Süre"/>
    <x:tableColumn id="9" name="Durum"/>
    <x:tableColumn id="10" name="Son Ders Notu"/>
    <x:tableColumn id="11" name="Kayıt Kaynağı"/>
    <x:tableColumn id="12" name="Sıra"/>
    <x:tableColumn id="13" name="Kayıt Kontrolü"/>
  </x:tableColumns>
  <x:tableStyleInfo name="TableStyleMedium2" showRowStripes="1"/>
</x:table>
</file>

<file path=xl/tables/table3.xml><?xml version="1.0" encoding="utf-8"?>
<x:table xmlns:x="http://schemas.openxmlformats.org/spreadsheetml/2006/main" id="1" name="tblOgrenciler" displayName="tblOgrenciler" ref="A4:O12" headerRowCount="1">
  <x:tableColumns count="15">
    <x:tableColumn id="1" name="Öğrenci Kodu"/>
    <x:tableColumn id="2" name="Ad Soyad"/>
    <x:tableColumn id="3" name="Sınıf"/>
    <x:tableColumn id="4" name="Ders"/>
    <x:tableColumn id="5" name="Veli Telefonu"/>
    <x:tableColumn id="6" name="Ders Günü / Saati"/>
    <x:tableColumn id="7" name="Başlangıç Tarihi"/>
    <x:tableColumn id="8" name="Hedef"/>
    <x:tableColumn id="9" name="Seviye"/>
    <x:tableColumn id="10" name="Aktiflik"/>
    <x:tableColumn id="11" name="Ödev Başarısı %"/>
    <x:tableColumn id="12" name="Sınav Net Ort."/>
    <x:tableColumn id="13" name="Sistem Statüsü"/>
    <x:tableColumn id="14" name="Risk Sıra"/>
    <x:tableColumn id="15" name="Kayıt Kontrolü"/>
  </x:tableColumns>
  <x:tableStyleInfo name="TableStyleMedium2" showRowStripes="1"/>
</x:table>
</file>

<file path=xl/tables/table4.xml><?xml version="1.0" encoding="utf-8"?>
<x:table xmlns:x="http://schemas.openxmlformats.org/spreadsheetml/2006/main" id="2" name="tblDersGirisi" displayName="tblDersGirisi" ref="A4:V10" headerRowCount="1">
  <x:tableColumns count="22">
    <x:tableColumn id="1" name="Tarih"/>
    <x:tableColumn id="2" name="Öğrenci Kodu"/>
    <x:tableColumn id="3" name="Ad Soyad"/>
    <x:tableColumn id="4" name="Sınıf"/>
    <x:tableColumn id="5" name="Ders"/>
    <x:tableColumn id="6" name="İşlenen Konu"/>
    <x:tableColumn id="7" name="Soru Sayısı"/>
    <x:tableColumn id="8" name="Doğru"/>
    <x:tableColumn id="9" name="Yanlış"/>
    <x:tableColumn id="10" name="Başarı %"/>
    <x:tableColumn id="11" name="Verilen Ödev"/>
    <x:tableColumn id="12" name="Ödev Son Tarihi"/>
    <x:tableColumn id="13" name="Önceki Ödev Durumu"/>
    <x:tableColumn id="14" name="Konu Durumu"/>
    <x:tableColumn id="15" name="Standart Ders Notu"/>
    <x:tableColumn id="16" name="Özel Öğretmen Notu"/>
    <x:tableColumn id="17" name="Sonraki Ders Hedefi"/>
    <x:tableColumn id="18" name="Veli Bilgilendirme"/>
    <x:tableColumn id="19" name="Ders Süresi"/>
    <x:tableColumn id="20" name="Kayıt Kaynağı"/>
    <x:tableColumn id="21" name="Kayıt ID"/>
    <x:tableColumn id="22" name="Kayıt Kontrolü"/>
  </x:tableColumns>
  <x:tableStyleInfo name="TableStyleMedium2" showRowStripes="1"/>
</x:table>
</file>

<file path=xl/tables/table5.xml><?xml version="1.0" encoding="utf-8"?>
<x:table xmlns:x="http://schemas.openxmlformats.org/spreadsheetml/2006/main" id="3" name="tblOdev" displayName="tblOdev" ref="A5:K11" headerRowCount="1">
  <x:tableColumns count="11">
    <x:tableColumn id="1" name="Veriliş Tarihi"/>
    <x:tableColumn id="2" name="Öğrenci Kodu"/>
    <x:tableColumn id="3" name="Ad Soyad"/>
    <x:tableColumn id="4" name="Ders"/>
    <x:tableColumn id="5" name="Ödev / Konu"/>
    <x:tableColumn id="6" name="Son Tarih"/>
    <x:tableColumn id="7" name="Durum"/>
    <x:tableColumn id="8" name="Başarı %"/>
    <x:tableColumn id="9" name="Risk"/>
    <x:tableColumn id="10" name="Kayıt Kaynağı"/>
    <x:tableColumn id="11" name="Kayıt Kontrolü"/>
  </x:tableColumns>
  <x:tableStyleInfo name="TableStyleMedium2" showRowStripes="1"/>
</x:table>
</file>

<file path=xl/tables/table6.xml><?xml version="1.0" encoding="utf-8"?>
<x:table xmlns:x="http://schemas.openxmlformats.org/spreadsheetml/2006/main" id="4" name="tblKonu" displayName="tblKonu" ref="A15:J22" headerRowCount="1">
  <x:tableColumns count="10">
    <x:tableColumn id="1" name="Öğrenci Kodu"/>
    <x:tableColumn id="2" name="Ad Soyad"/>
    <x:tableColumn id="3" name="Ders"/>
    <x:tableColumn id="4" name="Müfredat Konusu"/>
    <x:tableColumn id="5" name="Durum"/>
    <x:tableColumn id="6" name="Başarı %"/>
    <x:tableColumn id="7" name="Son Tekrar"/>
    <x:tableColumn id="8" name="Sonraki İşlem / Aksiyon"/>
    <x:tableColumn id="9" name="Kayıt Kaynağı"/>
    <x:tableColumn id="10" name="Kayıt Kontrolü"/>
  </x:tableColumns>
  <x:tableStyleInfo name="TableStyleMedium2" showRowStripes="1"/>
</x:table>
</file>

<file path=xl/tables/table7.xml><?xml version="1.0" encoding="utf-8"?>
<x:table xmlns:x="http://schemas.openxmlformats.org/spreadsheetml/2006/main" id="5" name="tblSinavlar" displayName="tblSinavlar" ref="A4:M10" headerRowCount="1">
  <x:tableColumns count="13">
    <x:tableColumn id="1" name="Tarih"/>
    <x:tableColumn id="2" name="Öğrenci Kodu"/>
    <x:tableColumn id="3" name="Ad Soyad"/>
    <x:tableColumn id="4" name="Sınav Türü / Adı"/>
    <x:tableColumn id="5" name="Net"/>
    <x:tableColumn id="6" name="Süre (dk)"/>
    <x:tableColumn id="7" name="Önceki Net"/>
    <x:tableColumn id="8" name="Net Değişimi"/>
    <x:tableColumn id="9" name="Birincil Hata Türü"/>
    <x:tableColumn id="10" name="Öğretmen Değerlendirmesi"/>
    <x:tableColumn id="11" name="Kayıt Kaynağı"/>
    <x:tableColumn id="12" name="Kayıt ID"/>
    <x:tableColumn id="13" name="Kayıt Kontrolü"/>
  </x:tableColumns>
  <x:tableStyleInfo name="TableStyleMedium2" showRowStripes="1"/>
</x:table>
</file>

<file path=xl/tables/table8.xml><?xml version="1.0" encoding="utf-8"?>
<x:table xmlns:x="http://schemas.openxmlformats.org/spreadsheetml/2006/main" id="6" name="tblVeli" displayName="tblVeli" ref="A5:I8" headerRowCount="1">
  <x:tableColumns count="9">
    <x:tableColumn id="1" name="Tarih"/>
    <x:tableColumn id="2" name="Öğrenci Kodu"/>
    <x:tableColumn id="3" name="Ad Soyad"/>
    <x:tableColumn id="4" name="Görüşme Nedeni"/>
    <x:tableColumn id="5" name="Görüşme Özeti / Veli Notu"/>
    <x:tableColumn id="6" name="Alınan Aksiyon / Karar"/>
    <x:tableColumn id="7" name="Sonraki Takip Tarihi"/>
    <x:tableColumn id="8" name="Kayıt Kaynağı"/>
    <x:tableColumn id="9" name="Kayıt Kontrolü"/>
  </x:tableColumns>
  <x:tableStyleInfo name="TableStyleMedium2" showRowStripes="1"/>
</x:table>
</file>

<file path=xl/tables/table9.xml><?xml version="1.0" encoding="utf-8"?>
<x:table xmlns:x="http://schemas.openxmlformats.org/spreadsheetml/2006/main" id="7" name="tblOdeme" displayName="tblOdeme" ref="A13:J19" headerRowCount="1">
  <x:tableColumns count="10">
    <x:tableColumn id="1" name="Öğrenci Kodu"/>
    <x:tableColumn id="2" name="Ad Soyad"/>
    <x:tableColumn id="3" name="Aylık Anlaşılan Tutar"/>
    <x:tableColumn id="4" name="Son Ödeme Tarihi"/>
    <x:tableColumn id="5" name="Ödeme Durumu"/>
    <x:tableColumn id="6" name="Ödenen Tutar"/>
    <x:tableColumn id="7" name="Kalan Bakiye"/>
    <x:tableColumn id="8" name="Notlar"/>
    <x:tableColumn id="9" name="Kayıt Kaynağı"/>
    <x:tableColumn id="10" name="Kayıt Kontrolü"/>
  </x:tableColumns>
  <x:tableStyleInfo name="TableStyleMedium2" showRowStripes="1"/>
</x:table>
</file>

<file path=xl/tables/table10.xml><?xml version="1.0" encoding="utf-8"?>
<x:table xmlns:x="http://schemas.openxmlformats.org/spreadsheetml/2006/main" id="9" name="tblGoogleHam" displayName="tblGoogleHam" ref="A4:P5" headerRowCount="1">
  <x:tableColumns count="16">
    <x:tableColumn id="1" name="Zaman Damgası"/>
    <x:tableColumn id="2" name="Öğrenci Kodu"/>
    <x:tableColumn id="3" name="Ders Tarihi"/>
    <x:tableColumn id="4" name="Ders"/>
    <x:tableColumn id="5" name="İşlenen Konu"/>
    <x:tableColumn id="6" name="Soru Sayısı"/>
    <x:tableColumn id="7" name="Doğru"/>
    <x:tableColumn id="8" name="Verilen Ödev"/>
    <x:tableColumn id="9" name="Ödev Son Tarihi"/>
    <x:tableColumn id="10" name="Önceki Ödev Durumu"/>
    <x:tableColumn id="11" name="Konu Durumu"/>
    <x:tableColumn id="12" name="Standart Ders Notu"/>
    <x:tableColumn id="13" name="Özel Öğretmen Notu"/>
    <x:tableColumn id="14" name="Sonraki Ders Hedefi"/>
    <x:tableColumn id="15" name="Ders Süresi"/>
    <x:tableColumn id="16" name="Veli Bilgilendirme"/>
  </x:tableColumns>
  <x:tableStyleInfo name="TableStyleMedium2" showRowStripes="1"/>
</x:table>
</file>

<file path=xl/tables/table11.xml><?xml version="1.0" encoding="utf-8"?>
<x:table xmlns:x="http://schemas.openxmlformats.org/spreadsheetml/2006/main" id="10" name="tblGoogleKontrol" displayName="tblGoogleKontrol" ref="R4:AP204" headerRowCount="1">
  <x:tableColumns count="25">
    <x:tableColumn id="1" name="Zaman Damgası"/>
    <x:tableColumn id="2" name="Öğrenci Kodu"/>
    <x:tableColumn id="3" name="Ad Soyad"/>
    <x:tableColumn id="4" name="Sınıf"/>
    <x:tableColumn id="5" name="Ders Tarihi"/>
    <x:tableColumn id="6" name="Ders"/>
    <x:tableColumn id="7" name="İşlenen Konu"/>
    <x:tableColumn id="8" name="Soru Sayısı"/>
    <x:tableColumn id="9" name="Doğru"/>
    <x:tableColumn id="10" name="Yanlış"/>
    <x:tableColumn id="11" name="Başarı %"/>
    <x:tableColumn id="12" name="Verilen Ödev"/>
    <x:tableColumn id="13" name="Ödev Son Tarihi"/>
    <x:tableColumn id="14" name="Önceki Ödev Durumu"/>
    <x:tableColumn id="15" name="Konu Durumu"/>
    <x:tableColumn id="16" name="Standart Ders Notu"/>
    <x:tableColumn id="17" name="Özel Öğretmen Notu"/>
    <x:tableColumn id="18" name="Sonraki Ders Hedefi"/>
    <x:tableColumn id="19" name="Ders Süresi"/>
    <x:tableColumn id="20" name="Veli Bilgilendirme"/>
    <x:tableColumn id="21" name="Form Kayıt ID"/>
    <x:tableColumn id="22" name="Kayıt Kontrolü"/>
    <x:tableColumn id="23" name="Aktarım Durumu"/>
    <x:tableColumn id="24" name="Aktarım Tarihi"/>
    <x:tableColumn id="25" name="Aktarım Notu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68bd250e1f40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47c4b644e4649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dede58030b49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7cb28a78674a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b4d542c72014f61" /><Relationship Type="http://schemas.openxmlformats.org/officeDocument/2006/relationships/table" Target="/xl/tables/table6.xml" Id="R38847269659942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080855daf55f4a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e364296863049a2" /><Relationship Type="http://schemas.openxmlformats.org/officeDocument/2006/relationships/table" Target="/xl/tables/table9.xml" Id="R2fc4ae4bcbe348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4f1722f724e749f3" /><Relationship Type="http://schemas.openxmlformats.org/officeDocument/2006/relationships/table" Target="/xl/tables/table11.xml" Id="R869c56d8da4346c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45" hidden="0" customWidth="1"/>
    <x:col min="4" max="4" width="23" hidden="0" customWidth="1"/>
    <x:col min="5" max="5" width="23" hidden="0" customWidth="1"/>
    <x:col min="6" max="6" width="13" hidden="0" customWidth="1"/>
    <x:col min="7" max="7" width="34" hidden="0" customWidth="1"/>
    <x:col min="8" max="8" width="18" hidden="0" customWidth="1"/>
    <x:col min="9" max="9" width="13" hidden="0" customWidth="1"/>
    <x:col min="10" max="10" width="30" hidden="0" customWidth="1"/>
  </x:cols>
  <x:sheetData>
    <x:row r="1" ht="26" customHeight="1">
      <x:c r="A1" s="5" t="str">
        <x:v>EDANUR ÖĞRENCİ TAKİP SİSTEMİ v4.2.2 — 10 SAYFALIK SADE YAPI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3" t="str">
        <x:v>17 sayfa 10 sayfaya indirildi. Günlük kullanımda ilk 7 sayfa yeterlidir.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2" t="str">
        <x:v>KULLANIM SIRASI</x:v>
      </x:c>
      <x:c r="B4" s="62"/>
      <x:c r="C4" s="62"/>
      <x:c r="D4" s="62"/>
      <x:c r="E4" s="62"/>
      <x:c r="F4" s="62" t="str">
        <x:v>SAYFA AZALTMA KARARI</x:v>
      </x:c>
      <x:c r="G4" s="62"/>
      <x:c r="H4" s="62"/>
      <x:c r="I4" s="62"/>
      <x:c r="J4" s="62"/>
    </x:row>
    <x:row r="5">
      <x:c r="A5" s="22" t="str">
        <x:v>Sıra</x:v>
      </x:c>
      <x:c r="B5" s="22" t="str">
        <x:v>Sayfa</x:v>
      </x:c>
      <x:c r="C5" s="22" t="str">
        <x:v>Ne zaman?</x:v>
      </x:c>
      <x:c r="D5" s="22" t="str">
        <x:v>İşlem</x:v>
      </x:c>
      <x:c r="F5" s="22" t="str">
        <x:v>Eski Sayfalar</x:v>
      </x:c>
      <x:c r="G5" s="22" t="str">
        <x:v>Yeni Sayfa</x:v>
      </x:c>
      <x:c r="H5" s="22" t="str">
        <x:v>Sonuç</x:v>
      </x:c>
    </x:row>
    <x:row r="6">
      <x:c r="A6" s="163" t="n">
        <x:v>1</x:v>
      </x:c>
      <x:c r="B6" s="163" t="str">
        <x:v>01_Panel_Program</x:v>
      </x:c>
      <x:c r="C6" s="163" t="str">
        <x:v>Her gün / hafta</x:v>
      </x:c>
      <x:c r="D6" s="163" t="str">
        <x:v>Program ve riskleri kontrol et.</x:v>
      </x:c>
      <x:c r="F6" s="163" t="str">
        <x:v>Haftalık Panel + Ders Programı</x:v>
      </x:c>
      <x:c r="G6" s="163" t="str">
        <x:v>01_Panel_Program</x:v>
      </x:c>
      <x:c r="H6" s="163" t="str">
        <x:v>Birleştirildi</x:v>
      </x:c>
    </x:row>
    <x:row r="7">
      <x:c r="A7" s="163" t="n">
        <x:v>2</x:v>
      </x:c>
      <x:c r="B7" s="163" t="str">
        <x:v>02_Öğrenciler</x:v>
      </x:c>
      <x:c r="C7" s="163" t="str">
        <x:v>Yeni öğrenci geldiğinde</x:v>
      </x:c>
      <x:c r="D7" s="163" t="str">
        <x:v>Sayısal kod ver; öğrenci bilgilerini gir.</x:v>
      </x:c>
      <x:c r="F7" s="163" t="str">
        <x:v>Ödev Takibi + Konu Takibi</x:v>
      </x:c>
      <x:c r="G7" s="163" t="str">
        <x:v>04_Ödev_Konu</x:v>
      </x:c>
      <x:c r="H7" s="163" t="str">
        <x:v>Birleştirildi</x:v>
      </x:c>
    </x:row>
    <x:row r="8">
      <x:c r="A8" s="163" t="n">
        <x:v>3</x:v>
      </x:c>
      <x:c r="B8" s="163" t="str">
        <x:v>03_Ders_Girişi</x:v>
      </x:c>
      <x:c r="C8" s="163" t="str">
        <x:v>Her ders sonunda</x:v>
      </x:c>
      <x:c r="D8" s="163" t="str">
        <x:v>Tek satır ders kaydı gir.</x:v>
      </x:c>
      <x:c r="F8" s="163" t="str">
        <x:v>Veli Görüşmeleri + Ücret/Ödeme</x:v>
      </x:c>
      <x:c r="G8" s="163" t="str">
        <x:v>06_Veli_Ödeme</x:v>
      </x:c>
      <x:c r="H8" s="163" t="str">
        <x:v>Birleştirildi</x:v>
      </x:c>
    </x:row>
    <x:row r="9">
      <x:c r="A9" s="163" t="n">
        <x:v>4</x:v>
      </x:c>
      <x:c r="B9" s="163" t="str">
        <x:v>04_Ödev_Konu</x:v>
      </x:c>
      <x:c r="C9" s="163" t="str">
        <x:v>Gerektiğinde</x:v>
      </x:c>
      <x:c r="D9" s="163" t="str">
        <x:v>Ödev veya konu ayrıntısını güncelle.</x:v>
      </x:c>
      <x:c r="F9" s="163" t="str">
        <x:v>Google Yanıtları + Aktarım Kontrol</x:v>
      </x:c>
      <x:c r="G9" s="163" t="str">
        <x:v>07_Google_Form</x:v>
      </x:c>
      <x:c r="H9" s="163" t="str">
        <x:v>Birleştirildi</x:v>
      </x:c>
    </x:row>
    <x:row r="10">
      <x:c r="A10" s="163" t="n">
        <x:v>5</x:v>
      </x:c>
      <x:c r="B10" s="163" t="str">
        <x:v>05_Sınavlar</x:v>
      </x:c>
      <x:c r="C10" s="163" t="str">
        <x:v>Deneme/sınav sonrası</x:v>
      </x:c>
      <x:c r="D10" s="163" t="str">
        <x:v>Net ve hata türünü kaydet.</x:v>
      </x:c>
      <x:c r="F10" s="163" t="str">
        <x:v>Google Soru + Kurulum + Veri Sözlüğü</x:v>
      </x:c>
      <x:c r="G10" s="163" t="str">
        <x:v>08_Google_Kurulum</x:v>
      </x:c>
      <x:c r="H10" s="163" t="str">
        <x:v>Birleştirildi</x:v>
      </x:c>
    </x:row>
    <x:row r="11">
      <x:c r="A11" s="163" t="n">
        <x:v>6</x:v>
      </x:c>
      <x:c r="B11" s="163" t="str">
        <x:v>06_Veli_Ödeme</x:v>
      </x:c>
      <x:c r="C11" s="163" t="str">
        <x:v>Aylık / görüşme sonrası</x:v>
      </x:c>
      <x:c r="D11" s="163" t="str">
        <x:v>Veli notu ve ödeme gir.</x:v>
      </x:c>
    </x:row>
    <x:row r="12">
      <x:c r="A12" s="163" t="n">
        <x:v>7</x:v>
      </x:c>
      <x:c r="B12" s="163" t="str">
        <x:v>07_Google_Form</x:v>
      </x:c>
      <x:c r="C12" s="163" t="str">
        <x:v>Form kullanıldığında</x:v>
      </x:c>
      <x:c r="D12" s="163" t="str">
        <x:v>Yanıt ve aktarım kontrolü.</x:v>
      </x:c>
      <x:c r="F12" s="172" t="str">
        <x:v>TESLİM KARARI: TESLİME UYGUN</x:v>
      </x:c>
      <x:c r="G12" s="172"/>
      <x:c r="H12" s="172"/>
      <x:c r="I12" s="172"/>
      <x:c r="J12" s="172"/>
    </x:row>
    <x:row r="15">
      <x:c r="A15" s="62" t="str">
        <x:v>RENKLER VE STANDARTLAR</x:v>
      </x:c>
      <x:c r="B15" s="62"/>
      <x:c r="C15" s="62"/>
      <x:c r="D15" s="62"/>
      <x:c r="E15" s="62"/>
      <x:c r="F15" s="62"/>
      <x:c r="G15" s="62"/>
      <x:c r="H15" s="62"/>
      <x:c r="I15" s="62"/>
      <x:c r="J15" s="62"/>
    </x:row>
    <x:row r="16">
      <x:c r="A16" s="22" t="str">
        <x:v>Renk / Alan</x:v>
      </x:c>
      <x:c r="B16" s="22" t="str">
        <x:v>Anlam</x:v>
      </x:c>
      <x:c r="C16" s="22" t="str">
        <x:v>Standart</x:v>
      </x:c>
      <x:c r="D16" s="22" t="str">
        <x:v>Örnek</x:v>
      </x:c>
      <x:c r="E16" s="22" t="str">
        <x:v>Durum</x:v>
      </x:c>
    </x:row>
    <x:row r="17">
      <x:c r="A17" s="28" t="str">
        <x:v>Sarı</x:v>
      </x:c>
      <x:c r="B17" s="28" t="str">
        <x:v>Kullanıcı girişi</x:v>
      </x:c>
      <x:c r="C17" s="28" t="str">
        <x:v>Bilgiyi girin</x:v>
      </x:c>
      <x:c r="D17" s="28" t="str">
        <x:v>Tarih, konu, kod</x:v>
      </x:c>
      <x:c r="E17" s="28" t="str">
        <x:v>Uygulandı</x:v>
      </x:c>
    </x:row>
    <x:row r="18">
      <x:c r="A18" s="34" t="str">
        <x:v>Mavi</x:v>
      </x:c>
      <x:c r="B18" s="34" t="str">
        <x:v>Otomatik</x:v>
      </x:c>
      <x:c r="C18" s="34" t="str">
        <x:v>Üzerine yazmayın</x:v>
      </x:c>
      <x:c r="D18" s="34" t="str">
        <x:v>Ad, sınıf, başarı</x:v>
      </x:c>
      <x:c r="E18" s="34" t="str">
        <x:v>Uygulandı</x:v>
      </x:c>
    </x:row>
    <x:row r="19">
      <x:c r="A19" t="str">
        <x:v>Öğrenci Kodu</x:v>
      </x:c>
      <x:c r="B19" t="str">
        <x:v>Düz tam sayı</x:v>
      </x:c>
      <x:c r="C19" t="str">
        <x:v>1-9999</x:v>
      </x:c>
      <x:c r="D19" t="str">
        <x:v>1</x:v>
      </x:c>
      <x:c r="E19" t="str">
        <x:v>Uygulandı</x:v>
      </x:c>
    </x:row>
    <x:row r="20">
      <x:c r="A20" t="str">
        <x:v>Tarih</x:v>
      </x:c>
      <x:c r="B20" t="str">
        <x:v>gg.aa.yyyy</x:v>
      </x:c>
      <x:c r="C20" t="str">
        <x:v>Tüm tarih alanları</x:v>
      </x:c>
      <x:c r="D20" t="str">
        <x:v>22.07.2026</x:v>
      </x:c>
      <x:c r="E20" t="str">
        <x:v>Uygulandı</x:v>
      </x:c>
    </x:row>
    <x:row r="23">
      <x:c r="A23" s="62" t="str">
        <x:v>ZORUNLU REGRESYON TESTLERİ</x:v>
      </x:c>
      <x:c r="B23" s="62"/>
      <x:c r="C23" s="62"/>
      <x:c r="D23" s="62"/>
      <x:c r="E23" s="62"/>
      <x:c r="F23" s="62"/>
      <x:c r="G23" s="62"/>
      <x:c r="H23" s="62"/>
      <x:c r="I23" s="62"/>
      <x:c r="J23" s="62"/>
    </x:row>
    <x:row r="24">
      <x:c r="A24" s="22" t="str">
        <x:v>Test ID</x:v>
      </x:c>
      <x:c r="B24" s="22" t="str">
        <x:v>Kategori</x:v>
      </x:c>
      <x:c r="C24" s="22" t="str">
        <x:v>Test</x:v>
      </x:c>
      <x:c r="D24" s="22" t="str">
        <x:v>Beklenen</x:v>
      </x:c>
      <x:c r="E24" s="22" t="str">
        <x:v>Gerçekleşen</x:v>
      </x:c>
      <x:c r="F24" s="22" t="str">
        <x:v>Sonuç</x:v>
      </x:c>
      <x:c r="G24" s="22" t="str">
        <x:v>Kanıt</x:v>
      </x:c>
      <x:c r="H24" s="22" t="str">
        <x:v>Sıklık</x:v>
      </x:c>
      <x:c r="I24" s="22" t="str">
        <x:v>Kritiklik</x:v>
      </x:c>
      <x:c r="J24" s="22" t="str">
        <x:v>Not</x:v>
      </x:c>
    </x:row>
    <x:row r="25">
      <x:c r="A25" s="163" t="str">
        <x:v>T-01</x:v>
      </x:c>
      <x:c r="B25" s="163" t="str">
        <x:v>Yapı</x:v>
      </x:c>
      <x:c r="C25" s="163" t="str">
        <x:v>Sayfa sayısını kontrol et.</x:v>
      </x:c>
      <x:c r="D25" s="163" t="str">
        <x:v>10</x:v>
      </x:c>
      <x:c r="E25" s="163" t="str">
        <x:v>10</x:v>
      </x:c>
      <x:c r="F25" s="163" t="str">
        <x:v>GEÇTİ</x:v>
      </x:c>
      <x:c r="G25" s="163" t="str">
        <x:v>Sheet listesi</x:v>
      </x:c>
      <x:c r="H25" s="163" t="str">
        <x:v>Her revizyonda</x:v>
      </x:c>
      <x:c r="I25" s="163" t="str">
        <x:v>Kritik</x:v>
      </x:c>
      <x:c r="J25" s="163" t="str">
        <x:v>17 → 10</x:v>
      </x:c>
    </x:row>
    <x:row r="26">
      <x:c r="A26" s="163" t="str">
        <x:v>T-02</x:v>
      </x:c>
      <x:c r="B26" s="163" t="str">
        <x:v>Yapı</x:v>
      </x:c>
      <x:c r="C26" s="163" t="str">
        <x:v>Sekme sırasını kontrol et.</x:v>
      </x:c>
      <x:c r="D26" s="163" t="str">
        <x:v>Ana sayfa ilk; Parametreler son</x:v>
      </x:c>
      <x:c r="E26" s="163" t="str">
        <x:v>Doğru</x:v>
      </x:c>
      <x:c r="F26" s="163" t="str">
        <x:v>GEÇTİ</x:v>
      </x:c>
      <x:c r="G26" s="163" t="str">
        <x:v>Sheet index</x:v>
      </x:c>
      <x:c r="H26" s="163" t="str">
        <x:v>Her revizyonda</x:v>
      </x:c>
      <x:c r="I26" s="163" t="str">
        <x:v>Kritik</x:v>
      </x:c>
      <x:c r="J26" s="163" t="str">
        <x:v>Yeni bulgu: sekme sırası</x:v>
      </x:c>
    </x:row>
    <x:row r="27">
      <x:c r="A27" s="163" t="str">
        <x:v>T-03</x:v>
      </x:c>
      <x:c r="B27" s="163" t="str">
        <x:v>Veri Koruma</x:v>
      </x:c>
      <x:c r="C27" s="163" t="str">
        <x:v>Öğrenci kayıtlarını say.</x:v>
      </x:c>
      <x:c r="D27" s="163" t="str">
        <x:v>7</x:v>
      </x:c>
      <x:c r="E27" s="163" t="str">
        <x:v>7</x:v>
      </x:c>
      <x:c r="F27" s="163" t="str">
        <x:v>GEÇTİ</x:v>
      </x:c>
      <x:c r="G27" s="163" t="str">
        <x:v>02_Öğrenciler</x:v>
      </x:c>
      <x:c r="H27" s="163" t="str">
        <x:v>Her revizyonda</x:v>
      </x:c>
      <x:c r="I27" s="163" t="str">
        <x:v>Kritik</x:v>
      </x:c>
      <x:c r="J27" s="163" t="str">
        <x:v>Kodlar 1-7</x:v>
      </x:c>
    </x:row>
    <x:row r="28">
      <x:c r="A28" s="163" t="str">
        <x:v>T-04</x:v>
      </x:c>
      <x:c r="B28" s="163" t="str">
        <x:v>Veri Koruma</x:v>
      </x:c>
      <x:c r="C28" s="163" t="str">
        <x:v>Ders kayıtlarını say ve kontrol et.</x:v>
      </x:c>
      <x:c r="D28" s="163" t="str">
        <x:v>5 Uygun</x:v>
      </x:c>
      <x:c r="E28" s="163" t="str">
        <x:v>5 Uygun</x:v>
      </x:c>
      <x:c r="F28" s="163" t="str">
        <x:v>GEÇTİ</x:v>
      </x:c>
      <x:c r="G28" s="163" t="str">
        <x:v>03_Ders_Girişi</x:v>
      </x:c>
      <x:c r="H28" s="163" t="str">
        <x:v>Her revizyonda</x:v>
      </x:c>
      <x:c r="I28" s="163" t="str">
        <x:v>Kritik</x:v>
      </x:c>
      <x:c r="J28" s="163" t="str"/>
    </x:row>
    <x:row r="29">
      <x:c r="A29" s="163" t="str">
        <x:v>T-05</x:v>
      </x:c>
      <x:c r="B29" s="163" t="str">
        <x:v>Veri Koruma</x:v>
      </x:c>
      <x:c r="C29" s="163" t="str">
        <x:v>Ödev kayıtlarını kontrol et.</x:v>
      </x:c>
      <x:c r="D29" s="163" t="str">
        <x:v>5 Uygun</x:v>
      </x:c>
      <x:c r="E29" s="163" t="str">
        <x:v>5 Uygun</x:v>
      </x:c>
      <x:c r="F29" s="163" t="str">
        <x:v>GEÇTİ</x:v>
      </x:c>
      <x:c r="G29" s="163" t="str">
        <x:v>04_Ödev_Konu</x:v>
      </x:c>
      <x:c r="H29" s="163" t="str">
        <x:v>Her revizyonda</x:v>
      </x:c>
      <x:c r="I29" s="163" t="str">
        <x:v>Kritik</x:v>
      </x:c>
      <x:c r="J29" s="163" t="str"/>
    </x:row>
    <x:row r="30">
      <x:c r="A30" s="163" t="str">
        <x:v>T-06</x:v>
      </x:c>
      <x:c r="B30" s="163" t="str">
        <x:v>Veri Koruma</x:v>
      </x:c>
      <x:c r="C30" s="163" t="str">
        <x:v>Konu kayıtlarını kontrol et.</x:v>
      </x:c>
      <x:c r="D30" s="163" t="str">
        <x:v>6 Uygun</x:v>
      </x:c>
      <x:c r="E30" s="163" t="str">
        <x:v>6 Uygun</x:v>
      </x:c>
      <x:c r="F30" s="163" t="str">
        <x:v>GEÇTİ</x:v>
      </x:c>
      <x:c r="G30" s="163" t="str">
        <x:v>04_Ödev_Konu</x:v>
      </x:c>
      <x:c r="H30" s="163" t="str">
        <x:v>Her revizyonda</x:v>
      </x:c>
      <x:c r="I30" s="163" t="str">
        <x:v>Kritik</x:v>
      </x:c>
      <x:c r="J30" s="163" t="str"/>
    </x:row>
    <x:row r="31">
      <x:c r="A31" s="163" t="str">
        <x:v>T-07</x:v>
      </x:c>
      <x:c r="B31" s="163" t="str">
        <x:v>Veri Koruma</x:v>
      </x:c>
      <x:c r="C31" s="163" t="str">
        <x:v>Sınav kayıtlarını kontrol et.</x:v>
      </x:c>
      <x:c r="D31" s="163" t="str">
        <x:v>5 Uygun</x:v>
      </x:c>
      <x:c r="E31" s="163" t="str">
        <x:v>5 Uygun</x:v>
      </x:c>
      <x:c r="F31" s="163" t="str">
        <x:v>GEÇTİ</x:v>
      </x:c>
      <x:c r="G31" s="163" t="str">
        <x:v>05_Sınavlar</x:v>
      </x:c>
      <x:c r="H31" s="163" t="str">
        <x:v>Her revizyonda</x:v>
      </x:c>
      <x:c r="I31" s="163" t="str">
        <x:v>Kritik</x:v>
      </x:c>
      <x:c r="J31" s="163" t="str"/>
    </x:row>
    <x:row r="32">
      <x:c r="A32" s="163" t="str">
        <x:v>T-08</x:v>
      </x:c>
      <x:c r="B32" s="163" t="str">
        <x:v>Veri Koruma</x:v>
      </x:c>
      <x:c r="C32" s="163" t="str">
        <x:v>Veli ve ödeme kayıtlarını kontrol et.</x:v>
      </x:c>
      <x:c r="D32" s="163" t="str">
        <x:v>2 veli / 5 ödeme</x:v>
      </x:c>
      <x:c r="E32" s="163" t="str">
        <x:v>2 / 5</x:v>
      </x:c>
      <x:c r="F32" s="163" t="str">
        <x:v>GEÇTİ</x:v>
      </x:c>
      <x:c r="G32" s="163" t="str">
        <x:v>06_Veli_Ödeme</x:v>
      </x:c>
      <x:c r="H32" s="163" t="str">
        <x:v>Her revizyonda</x:v>
      </x:c>
      <x:c r="I32" s="163" t="str">
        <x:v>Kritik</x:v>
      </x:c>
      <x:c r="J32" s="163" t="str"/>
    </x:row>
    <x:row r="33">
      <x:c r="A33" s="163" t="str">
        <x:v>T-09</x:v>
      </x:c>
      <x:c r="B33" s="163" t="str">
        <x:v>Kod Standardı</x:v>
      </x:c>
      <x:c r="C33" s="163" t="str">
        <x:v>Eski ORT-001 biçimini ara.</x:v>
      </x:c>
      <x:c r="D33" s="163" t="str">
        <x:v>Hiç olmamalı</x:v>
      </x:c>
      <x:c r="E33" s="163" t="str">
        <x:v>Bulunmadı</x:v>
      </x:c>
      <x:c r="F33" s="163" t="str">
        <x:v>GEÇTİ</x:v>
      </x:c>
      <x:c r="G33" s="163" t="str">
        <x:v>Tüm veri sayfaları</x:v>
      </x:c>
      <x:c r="H33" s="163" t="str">
        <x:v>Her revizyonda</x:v>
      </x:c>
      <x:c r="I33" s="163" t="str">
        <x:v>Kritik</x:v>
      </x:c>
      <x:c r="J33" s="163" t="str">
        <x:v>Kod düz sayıya çevrildi</x:v>
      </x:c>
    </x:row>
    <x:row r="34">
      <x:c r="A34" s="163" t="str">
        <x:v>T-10</x:v>
      </x:c>
      <x:c r="B34" s="163" t="str">
        <x:v>Kod Girişi</x:v>
      </x:c>
      <x:c r="C34" s="163" t="str">
        <x:v>Geçerli kod 1 ile ders kaydı gir.</x:v>
      </x:c>
      <x:c r="D34" s="163" t="str">
        <x:v>Ahmet / 8 / Matematik / 4 / %80 / Uygun</x:v>
      </x:c>
      <x:c r="E34" s="163" t="str">
        <x:v>Tam doğru</x:v>
      </x:c>
      <x:c r="F34" s="163" t="str">
        <x:v>GEÇTİ</x:v>
      </x:c>
      <x:c r="G34" s="163" t="str">
        <x:v>Pilot kayıt</x:v>
      </x:c>
      <x:c r="H34" s="163" t="str">
        <x:v>Her revizyonda</x:v>
      </x:c>
      <x:c r="I34" s="163" t="str">
        <x:v>Kritik</x:v>
      </x:c>
      <x:c r="J34" s="163" t="str"/>
    </x:row>
    <x:row r="35">
      <x:c r="A35" s="163" t="str">
        <x:v>T-11</x:v>
      </x:c>
      <x:c r="B35" s="163" t="str">
        <x:v>Kod Girişi</x:v>
      </x:c>
      <x:c r="C35" s="163" t="str">
        <x:v>Olmayan kod 99 gir.</x:v>
      </x:c>
      <x:c r="D35" s="163" t="str">
        <x:v>Öğrenci Kodu Hatalı</x:v>
      </x:c>
      <x:c r="E35" s="163" t="str">
        <x:v>Algılandı</x:v>
      </x:c>
      <x:c r="F35" s="163" t="str">
        <x:v>GEÇTİ</x:v>
      </x:c>
      <x:c r="G35" s="163" t="str">
        <x:v>Ders kontrolü</x:v>
      </x:c>
      <x:c r="H35" s="163" t="str">
        <x:v>Her revizyonda</x:v>
      </x:c>
      <x:c r="I35" s="163" t="str">
        <x:v>Kritik</x:v>
      </x:c>
      <x:c r="J35" s="163" t="str"/>
    </x:row>
    <x:row r="36">
      <x:c r="A36" s="163" t="str">
        <x:v>T-12</x:v>
      </x:c>
      <x:c r="B36" s="163" t="str">
        <x:v>Kod Girişi</x:v>
      </x:c>
      <x:c r="C36" s="163" t="str">
        <x:v>Kod alanındaki boş açılır listeyi kaldır.</x:v>
      </x:c>
      <x:c r="D36" s="163" t="str">
        <x:v>Tam sayı girişi</x:v>
      </x:c>
      <x:c r="E36" s="163" t="str">
        <x:v>Whole-number doğrulama</x:v>
      </x:c>
      <x:c r="F36" s="163" t="str">
        <x:v>GEÇTİ</x:v>
      </x:c>
      <x:c r="G36" s="163" t="str">
        <x:v>Veri doğrulama</x:v>
      </x:c>
      <x:c r="H36" s="163" t="str">
        <x:v>Her revizyonda</x:v>
      </x:c>
      <x:c r="I36" s="163" t="str">
        <x:v>Yüksek</x:v>
      </x:c>
      <x:c r="J36" s="163" t="str">
        <x:v>Boş dropdown sorunu çözüldü</x:v>
      </x:c>
    </x:row>
    <x:row r="37">
      <x:c r="A37" s="163" t="str">
        <x:v>T-13</x:v>
      </x:c>
      <x:c r="B37" s="163" t="str">
        <x:v>Ders Kontrolü</x:v>
      </x:c>
      <x:c r="C37" s="163" t="str">
        <x:v>Doğru &gt; soru sayısı gir.</x:v>
      </x:c>
      <x:c r="D37" s="163" t="str">
        <x:v>Soru Sayısı Hatası</x:v>
      </x:c>
      <x:c r="E37" s="163" t="str">
        <x:v>Algılandı</x:v>
      </x:c>
      <x:c r="F37" s="163" t="str">
        <x:v>GEÇTİ</x:v>
      </x:c>
      <x:c r="G37" s="163" t="str">
        <x:v>Ders kontrolü</x:v>
      </x:c>
      <x:c r="H37" s="163" t="str">
        <x:v>Her revizyonda</x:v>
      </x:c>
      <x:c r="I37" s="163" t="str">
        <x:v>Kritik</x:v>
      </x:c>
      <x:c r="J37" s="163" t="str"/>
    </x:row>
    <x:row r="38">
      <x:c r="A38" s="163" t="str">
        <x:v>T-14</x:v>
      </x:c>
      <x:c r="B38" s="163" t="str">
        <x:v>Ders Kontrolü</x:v>
      </x:c>
      <x:c r="C38" s="163" t="str">
        <x:v>2020 öncesi tarih gir.</x:v>
      </x:c>
      <x:c r="D38" s="163" t="str">
        <x:v>Tarih Hatası</x:v>
      </x:c>
      <x:c r="E38" s="163" t="str">
        <x:v>Algılandı</x:v>
      </x:c>
      <x:c r="F38" s="163" t="str">
        <x:v>GEÇTİ</x:v>
      </x:c>
      <x:c r="G38" s="163" t="str">
        <x:v>Ders kontrolü</x:v>
      </x:c>
      <x:c r="H38" s="163" t="str">
        <x:v>Her revizyonda</x:v>
      </x:c>
      <x:c r="I38" s="163" t="str">
        <x:v>Kritik</x:v>
      </x:c>
      <x:c r="J38" s="163" t="str"/>
    </x:row>
    <x:row r="39">
      <x:c r="A39" s="163" t="str">
        <x:v>T-15</x:v>
      </x:c>
      <x:c r="B39" s="163" t="str">
        <x:v>Ders Kontrolü</x:v>
      </x:c>
      <x:c r="C39" s="163" t="str">
        <x:v>Aynı tarih/kod/konu kaydını gir.</x:v>
      </x:c>
      <x:c r="D39" s="163" t="str">
        <x:v>Mükerrer Kayıt</x:v>
      </x:c>
      <x:c r="E39" s="163" t="str">
        <x:v>Algılandı</x:v>
      </x:c>
      <x:c r="F39" s="163" t="str">
        <x:v>GEÇTİ</x:v>
      </x:c>
      <x:c r="G39" s="163" t="str">
        <x:v>Ders kontrolü</x:v>
      </x:c>
      <x:c r="H39" s="163" t="str">
        <x:v>Her revizyonda</x:v>
      </x:c>
      <x:c r="I39" s="163" t="str">
        <x:v>Kritik</x:v>
      </x:c>
      <x:c r="J39" s="163" t="str"/>
    </x:row>
    <x:row r="40">
      <x:c r="A40" s="163" t="str">
        <x:v>T-16</x:v>
      </x:c>
      <x:c r="B40" s="163" t="str">
        <x:v>Test Güvenliği</x:v>
      </x:c>
      <x:c r="C40" s="163" t="str">
        <x:v>Test verisini temizle; formülleri kontrol et.</x:v>
      </x:c>
      <x:c r="D40" s="163" t="str">
        <x:v>Formüller korunmalı</x:v>
      </x:c>
      <x:c r="E40" s="163" t="str">
        <x:v>Korundu</x:v>
      </x:c>
      <x:c r="F40" s="163" t="str">
        <x:v>GEÇTİ</x:v>
      </x:c>
      <x:c r="G40" s="163" t="str">
        <x:v>Ders satır 10</x:v>
      </x:c>
      <x:c r="H40" s="163" t="str">
        <x:v>Her revizyonda</x:v>
      </x:c>
      <x:c r="I40" s="163" t="str">
        <x:v>Kritik</x:v>
      </x:c>
      <x:c r="J40" s="163" t="str"/>
    </x:row>
    <x:row r="41">
      <x:c r="A41" s="163" t="str">
        <x:v>T-17</x:v>
      </x:c>
      <x:c r="B41" s="163" t="str">
        <x:v>Google</x:v>
      </x:c>
      <x:c r="C41" s="163" t="str">
        <x:v>Geçerli Form yanıtı gönder.</x:v>
      </x:c>
      <x:c r="D41" s="163" t="str">
        <x:v>Aktarıma Hazır</x:v>
      </x:c>
      <x:c r="E41" s="163" t="str">
        <x:v>Algılandı</x:v>
      </x:c>
      <x:c r="F41" s="163" t="str">
        <x:v>GEÇTİ</x:v>
      </x:c>
      <x:c r="G41" s="163" t="str">
        <x:v>07_Google_Form</x:v>
      </x:c>
      <x:c r="H41" s="163" t="str">
        <x:v>Her revizyonda</x:v>
      </x:c>
      <x:c r="I41" s="163" t="str">
        <x:v>Kritik</x:v>
      </x:c>
      <x:c r="J41" s="163" t="str"/>
    </x:row>
    <x:row r="42">
      <x:c r="A42" s="163" t="str">
        <x:v>T-18</x:v>
      </x:c>
      <x:c r="B42" s="163" t="str">
        <x:v>Google</x:v>
      </x:c>
      <x:c r="C42" s="163" t="str">
        <x:v>Formda kod 99 gönder.</x:v>
      </x:c>
      <x:c r="D42" s="163" t="str">
        <x:v>Öğrenci Kodu Hatalı</x:v>
      </x:c>
      <x:c r="E42" s="163" t="str">
        <x:v>Algılandı</x:v>
      </x:c>
      <x:c r="F42" s="163" t="str">
        <x:v>GEÇTİ</x:v>
      </x:c>
      <x:c r="G42" s="163" t="str">
        <x:v>07_Google_Form</x:v>
      </x:c>
      <x:c r="H42" s="163" t="str">
        <x:v>Her revizyonda</x:v>
      </x:c>
      <x:c r="I42" s="163" t="str">
        <x:v>Kritik</x:v>
      </x:c>
      <x:c r="J42" s="163" t="str"/>
    </x:row>
    <x:row r="43">
      <x:c r="A43" s="163" t="str">
        <x:v>T-19</x:v>
      </x:c>
      <x:c r="B43" s="163" t="str">
        <x:v>Google</x:v>
      </x:c>
      <x:c r="C43" s="163" t="str">
        <x:v>Formda doğru &gt; soru gönder.</x:v>
      </x:c>
      <x:c r="D43" s="163" t="str">
        <x:v>Soru Sayısı Hatası</x:v>
      </x:c>
      <x:c r="E43" s="163" t="str">
        <x:v>Algılandı</x:v>
      </x:c>
      <x:c r="F43" s="163" t="str">
        <x:v>GEÇTİ</x:v>
      </x:c>
      <x:c r="G43" s="163" t="str">
        <x:v>07_Google_Form</x:v>
      </x:c>
      <x:c r="H43" s="163" t="str">
        <x:v>Her revizyonda</x:v>
      </x:c>
      <x:c r="I43" s="163" t="str">
        <x:v>Kritik</x:v>
      </x:c>
      <x:c r="J43" s="163" t="str"/>
    </x:row>
    <x:row r="44">
      <x:c r="A44" s="163" t="str">
        <x:v>T-20</x:v>
      </x:c>
      <x:c r="B44" s="163" t="str">
        <x:v>Tarih</x:v>
      </x:c>
      <x:c r="C44" s="163" t="str">
        <x:v>Bütün tarih sütunlarında biçimi kontrol et.</x:v>
      </x:c>
      <x:c r="D44" s="163" t="str">
        <x:v>gg.aa.yyyy</x:v>
      </x:c>
      <x:c r="E44" s="163" t="str">
        <x:v>Uygulandı</x:v>
      </x:c>
      <x:c r="F44" s="163" t="str">
        <x:v>GEÇTİ</x:v>
      </x:c>
      <x:c r="G44" s="163" t="str">
        <x:v>Tarih sütunları + render</x:v>
      </x:c>
      <x:c r="H44" s="163" t="str">
        <x:v>Her revizyonda</x:v>
      </x:c>
      <x:c r="I44" s="163" t="str">
        <x:v>Yüksek</x:v>
      </x:c>
      <x:c r="J44" s="163" t="str">
        <x:v>2026-07-05 görünümü kaldırıldı</x:v>
      </x:c>
    </x:row>
    <x:row r="45">
      <x:c r="A45" s="163" t="str">
        <x:v>T-21</x:v>
      </x:c>
      <x:c r="B45" s="163" t="str">
        <x:v>Kullanılabilirlik</x:v>
      </x:c>
      <x:c r="C45" s="163" t="str">
        <x:v>Yüzlerce boş satır/formül yerine tek şablon satırı kontrol et.</x:v>
      </x:c>
      <x:c r="D45" s="163" t="str">
        <x:v>Ana tablolar kompakt</x:v>
      </x:c>
      <x:c r="E45" s="163" t="str">
        <x:v>Kompakt</x:v>
      </x:c>
      <x:c r="F45" s="163" t="str">
        <x:v>GEÇTİ</x:v>
      </x:c>
      <x:c r="G45" s="163" t="str">
        <x:v>Used range</x:v>
      </x:c>
      <x:c r="H45" s="163" t="str">
        <x:v>Her revizyonda</x:v>
      </x:c>
      <x:c r="I45" s="163" t="str">
        <x:v>Yüksek</x:v>
      </x:c>
      <x:c r="J45" s="163" t="str">
        <x:v>Yeşil üçgen/boş satır karmaşası azaltıldı</x:v>
      </x:c>
    </x:row>
    <x:row r="46">
      <x:c r="A46" s="163" t="str">
        <x:v>T-22</x:v>
      </x:c>
      <x:c r="B46" s="163" t="str">
        <x:v>Formül</x:v>
      </x:c>
      <x:c r="C46" s="163" t="str">
        <x:v>Tüm dosyada hata kodlarını tara.</x:v>
      </x:c>
      <x:c r="D46" s="163" t="str">
        <x:v>0 hata</x:v>
      </x:c>
      <x:c r="E46" s="163" t="str">
        <x:v>0 hata</x:v>
      </x:c>
      <x:c r="F46" s="163" t="str">
        <x:v>GEÇTİ</x:v>
      </x:c>
      <x:c r="G46" s="163" t="str">
        <x:v>Formül hata taraması</x:v>
      </x:c>
      <x:c r="H46" s="163" t="str">
        <x:v>Her revizyonda</x:v>
      </x:c>
      <x:c r="I46" s="163" t="str">
        <x:v>Kritik</x:v>
      </x:c>
      <x:c r="J46" s="163" t="str"/>
    </x:row>
    <x:row r="47">
      <x:c r="A47" s="163" t="str">
        <x:v>T-23</x:v>
      </x:c>
      <x:c r="B47" s="163" t="str">
        <x:v>Süreklilik</x:v>
      </x:c>
      <x:c r="C47" s="163" t="str">
        <x:v>Yeni bulguların sıradaki Test ID ile eklenmesini kontrol et.</x:v>
      </x:c>
      <x:c r="D47" s="163" t="str">
        <x:v>Kural devam ediyor</x:v>
      </x:c>
      <x:c r="E47" s="163" t="str">
        <x:v>T-23'e kadar güncel</x:v>
      </x:c>
      <x:c r="F47" s="163" t="str">
        <x:v>GEÇTİ</x:v>
      </x:c>
      <x:c r="G47" s="163" t="str">
        <x:v>00_Ana test listesi</x:v>
      </x:c>
      <x:c r="H47" s="163" t="str">
        <x:v>Her revizyonda</x:v>
      </x:c>
      <x:c r="I47" s="163" t="str">
        <x:v>Kritik</x:v>
      </x:c>
      <x:c r="J47" s="163" t="str">
        <x:v>Eski testler silinmedi</x:v>
      </x:c>
    </x:row>
    <x:row r="48">
      <x:c r="A48" t="str">
        <x:v>T-24</x:v>
      </x:c>
      <x:c r="B48" t="str">
        <x:v>Ödeme</x:v>
      </x:c>
      <x:c r="C48" t="str">
        <x:v>Gecikmede kaydında ödenen tutarı 0 TL gir.</x:v>
      </x:c>
      <x:c r="D48" t="str">
        <x:v>Kayıt Uygun; kalan bakiye tam tutar</x:v>
      </x:c>
      <x:c r="E48" t="str">
        <x:v>Uygun / 4.000 TL</x:v>
      </x:c>
      <x:c r="F48" t="str">
        <x:v>GEÇTİ</x:v>
      </x:c>
      <x:c r="G48" t="str">
        <x:v>06_Veli_Ödeme satır 16</x:v>
      </x:c>
      <x:c r="H48" t="str">
        <x:v>Her revizyonda</x:v>
      </x:c>
      <x:c r="I48" t="str">
        <x:v>Kritik</x:v>
      </x:c>
      <x:c r="J48" t="str">
        <x:v>Yeni bulgu: sıfır ödeme eksik sayılmamalı</x:v>
      </x:c>
    </x:row>
    <x:row r="49">
      <x:c r="A49" t="str">
        <x:v>T-25</x:v>
      </x:c>
      <x:c r="B49" t="str">
        <x:v>Görsel / Tarih</x:v>
      </x:c>
      <x:c r="C49" t="str">
        <x:v>Tüm tarih alanlarını dışa aktarım sonrası kontrol et.</x:v>
      </x:c>
      <x:c r="D49" t="str">
        <x:v>gg.aa.yyyy görünmeli</x:v>
      </x:c>
      <x:c r="E49" t="str">
        <x:v>set_number_format ile sabitlendi</x:v>
      </x:c>
      <x:c r="F49" t="str">
        <x:v>GEÇTİ</x:v>
      </x:c>
      <x:c r="G49" t="str">
        <x:v>Tarih sütunları ve render</x:v>
      </x:c>
      <x:c r="H49" t="str">
        <x:v>Her revizyonda</x:v>
      </x:c>
      <x:c r="I49" t="str">
        <x:v>Kritik</x:v>
      </x:c>
      <x:c r="J49" t="str">
        <x:v>Yeni bulgu: seri tarih görünümü</x:v>
      </x:c>
    </x:row>
    <x:row r="50">
      <x:c r="A50" t="str">
        <x:v>T-26</x:v>
      </x:c>
      <x:c r="B50" t="str">
        <x:v>Görsel / Para</x:v>
      </x:c>
      <x:c r="C50" t="str">
        <x:v>Ödeme alanlarında para biçimini kontrol et.</x:v>
      </x:c>
      <x:c r="D50" t="str">
        <x:v>₺ ve iki ondalık</x:v>
      </x:c>
      <x:c r="E50" t="str">
        <x:v>set_number_format ile sabitlendi</x:v>
      </x:c>
      <x:c r="F50" t="str">
        <x:v>GEÇTİ</x:v>
      </x:c>
      <x:c r="G50" t="str">
        <x:v>06_Veli_Ödeme</x:v>
      </x:c>
      <x:c r="H50" t="str">
        <x:v>Her revizyonda</x:v>
      </x:c>
      <x:c r="I50" t="str">
        <x:v>Yüksek</x:v>
      </x:c>
      <x:c r="J50" t="str">
        <x:v>Para biçimi standardı</x:v>
      </x:c>
    </x:row>
  </x:sheetData>
  <x:mergeCells>
    <x:mergeCell ref="A1:J1"/>
    <x:mergeCell ref="A2:J2"/>
    <x:mergeCell ref="A4:J4"/>
    <x:mergeCell ref="F4:J4"/>
    <x:mergeCell ref="A15:J15"/>
    <x:mergeCell ref="A23:J23"/>
    <x:mergeCell ref="F12:J12"/>
  </x:mergeCells>
  <x:conditionalFormatting sqref="F25:F47">
    <x:cfRule type="expression" dxfId="24" priority="1">
      <x:formula>F25="GEÇTİ"</x:formula>
    </x:cfRule>
    <x:cfRule type="expression" dxfId="25" priority="2">
      <x:formula>F25="KALDI"</x:formula>
    </x:cfRule>
  </x:conditionalFormatting>
  <x:conditionalFormatting sqref="F48:F48">
    <x:cfRule type="expression" dxfId="26" priority="3">
      <x:formula>F48="GEÇTİ"</x:formula>
    </x:cfRule>
    <x:cfRule type="expression" dxfId="27" priority="4">
      <x:formula>F48="KALDI"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568bd250e1f403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3" hidden="0" customWidth="1"/>
    <x:col min="5" max="5" width="23" hidden="0" customWidth="1"/>
    <x:col min="6" max="6" width="31" hidden="0" customWidth="1"/>
    <x:col min="7" max="7" width="29" hidden="0" customWidth="1"/>
    <x:col min="8" max="8" width="12" hidden="0" customWidth="1"/>
    <x:col min="9" max="9" width="15" hidden="0" customWidth="1"/>
    <x:col min="10" max="10" width="29" hidden="0" customWidth="1"/>
    <x:col min="11" max="11" width="18" hidden="0" customWidth="1"/>
    <x:col min="12" max="12" width="10" hidden="0" customWidth="1"/>
    <x:col min="13" max="13" width="18" hidden="0" customWidth="1"/>
  </x:cols>
  <x:sheetData>
    <x:row r="1" ht="26" customHeight="1">
      <x:c r="A1" s="5" t="str">
        <x:v>HAFTALIK KONTROL PANELİ VE DERS PROGRAMI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3" t="str">
        <x:v>Program ve kontrol aynı sekmede. Üst bölüm özet/risk, alt bölüm programdır.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2" t="str">
        <x:v>Aktif Öğrenci</x:v>
      </x:c>
      <x:c r="B4" s="22"/>
      <x:c r="D4" s="22" t="str">
        <x:v>Riskli Öğrenci</x:v>
      </x:c>
      <x:c r="E4" s="22"/>
      <x:c r="G4" s="22" t="str">
        <x:v>Ödev Başarısı</x:v>
      </x:c>
      <x:c r="H4" s="22"/>
      <x:c r="J4" s="22" t="str">
        <x:v>Sınav Net Ort.</x:v>
      </x:c>
      <x:c r="K4" s="22"/>
      <x:c r="M4" s="22" t="str">
        <x:v>Hatalı Kayıt</x:v>
      </x:c>
    </x:row>
    <x:row r="5">
      <x:c r="A5" s="145" t="n">
        <x:f>COUNTIF('02_Öğrenciler'!$J$5:$J$203,"Aktif")</x:f>
        <x:v>6</x:v>
      </x:c>
      <x:c r="B5" s="145"/>
      <x:c r="D5" s="145" t="n">
        <x:f>COUNTIF('02_Öğrenciler'!$M$5:$M$203,"Kırmızı")+COUNTIF('02_Öğrenciler'!$M$5:$M$203,"Turuncu")</x:f>
        <x:v>3</x:v>
      </x:c>
      <x:c r="E5" s="145"/>
      <x:c r="G5" s="150" t="n">
        <x:f>IFERROR(AVERAGEIF('02_Öğrenciler'!$K$5:$K$203,"&gt;=0"),0)</x:f>
        <x:v>0.6416666666666666</x:v>
      </x:c>
      <x:c r="H5" s="150"/>
      <x:c r="J5" s="152" t="n">
        <x:f>IFERROR(AVERAGEIF('02_Öğrenciler'!$L$5:$L$203,"&gt;=0"),0)</x:f>
        <x:v>14.8</x:v>
      </x:c>
      <x:c r="K5" s="152"/>
      <x:c r="M5" s="145" t="n">
        <x:f>COUNTIF('02_Öğrenciler'!$O$5:$O$203,"&lt;&gt;Uygun")-COUNTBLANK('02_Öğrenciler'!$O$5:$O$203)+COUNTIF('03_Ders_Girişi'!$V$5:$V$503,"&lt;&gt;Uygun")-COUNTBLANK('03_Ders_Girişi'!$V$5:$V$503)</x:f>
        <x:v>0</x:v>
      </x:c>
    </x:row>
    <x:row r="6">
      <x:c r="A6" s="145"/>
      <x:c r="B6" s="145"/>
      <x:c r="D6" s="145"/>
      <x:c r="E6" s="145"/>
      <x:c r="G6" s="150"/>
      <x:c r="H6" s="150"/>
      <x:c r="J6" s="152"/>
      <x:c r="K6" s="152"/>
      <x:c r="M6" s="145"/>
    </x:row>
    <x:row r="8">
      <x:c r="A8" s="62" t="str">
        <x:v>DİKKAT GEREKTİREN ÖĞRENCİLER</x:v>
      </x:c>
      <x:c r="B8" s="62"/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</x:row>
    <x:row r="9">
      <x:c r="A9" s="22" t="str">
        <x:v>Kod</x:v>
      </x:c>
      <x:c r="B9" s="22" t="str">
        <x:v>Ad Soyad</x:v>
      </x:c>
      <x:c r="C9" s="22" t="str">
        <x:v>Statü</x:v>
      </x:c>
      <x:c r="D9" s="22" t="str">
        <x:v>Ödev %</x:v>
      </x:c>
      <x:c r="E9" s="22" t="str">
        <x:v>Sınav Ort.</x:v>
      </x:c>
      <x:c r="F9" s="22" t="str">
        <x:v>Aksiyon</x:v>
      </x:c>
    </x:row>
    <x:row r="10">
      <x:c r="A10" t="n">
        <x:f>IFERROR(INDEX('02_Öğrenciler'!$A$5:$A$203,MATCH(1,'02_Öğrenciler'!$N$5:$N$203,0)),"")</x:f>
        <x:v>1</x:v>
      </x:c>
      <x:c r="B10" t="str">
        <x:f>IF(A10="","",INDEX('02_Öğrenciler'!$B$5:$B$203,MATCH(A10,'02_Öğrenciler'!$A$5:$A$203,0)))</x:f>
        <x:v>Ahmet Yılmaz</x:v>
      </x:c>
      <x:c r="C10" t="str">
        <x:f>IF(A10="","",INDEX('02_Öğrenciler'!$M$5:$M$203,MATCH(A10,'02_Öğrenciler'!$A$5:$A$203,0)))</x:f>
        <x:v>Turuncu</x:v>
      </x:c>
      <x:c r="D10" s="53" t="n">
        <x:f>IF(A10="","",INDEX('02_Öğrenciler'!$K$5:$K$203,MATCH(A10,'02_Öğrenciler'!$A$5:$A$203,0)))</x:f>
        <x:v>0.725</x:v>
      </x:c>
      <x:c r="E10" s="57" t="n">
        <x:f>IF(A10="","",INDEX('02_Öğrenciler'!$L$5:$L$203,MATCH(A10,'02_Öğrenciler'!$A$5:$A$203,0)))</x:f>
        <x:v>14.5</x:v>
      </x:c>
      <x:c r="F10" t="str">
        <x:f>IF(C10="Kırmızı","Kritik takip",IF(C10="Turuncu","Tekrar ve ödev takibi",""))</x:f>
        <x:v>Tekrar ve ödev takibi</x:v>
      </x:c>
    </x:row>
    <x:row r="11">
      <x:c r="A11" t="n">
        <x:f>IFERROR(INDEX('02_Öğrenciler'!$A$5:$A$203,MATCH(2,'02_Öğrenciler'!$N$5:$N$203,0)),"")</x:f>
        <x:v>3</x:v>
      </x:c>
      <x:c r="B11" t="str">
        <x:f>IF(A11="","",INDEX('02_Öğrenciler'!$B$5:$B$203,MATCH(A11,'02_Öğrenciler'!$A$5:$A$203,0)))</x:f>
        <x:v>Mehmet Demir</x:v>
      </x:c>
      <x:c r="C11" t="str">
        <x:f>IF(A11="","",INDEX('02_Öğrenciler'!$M$5:$M$203,MATCH(A11,'02_Öğrenciler'!$A$5:$A$203,0)))</x:f>
        <x:v>Kırmızı</x:v>
      </x:c>
      <x:c r="D11" s="53" t="n">
        <x:f>IF(A11="","",INDEX('02_Öğrenciler'!$K$5:$K$203,MATCH(A11,'02_Öğrenciler'!$A$5:$A$203,0)))</x:f>
        <x:v>0.25</x:v>
      </x:c>
      <x:c r="E11" s="57" t="n">
        <x:f>IF(A11="","",INDEX('02_Öğrenciler'!$L$5:$L$203,MATCH(A11,'02_Öğrenciler'!$A$5:$A$203,0)))</x:f>
        <x:v>9</x:v>
      </x:c>
      <x:c r="F11" t="str">
        <x:f>IF(C11="Kırmızı","Kritik takip",IF(C11="Turuncu","Tekrar ve ödev takibi",""))</x:f>
        <x:v>Kritik takip</x:v>
      </x:c>
    </x:row>
    <x:row r="12">
      <x:c r="A12" t="n">
        <x:f>IFERROR(INDEX('02_Öğrenciler'!$A$5:$A$203,MATCH(3,'02_Öğrenciler'!$N$5:$N$203,0)),"")</x:f>
        <x:v>4</x:v>
      </x:c>
      <x:c r="B12" t="str">
        <x:f>IF(A12="","",INDEX('02_Öğrenciler'!$B$5:$B$203,MATCH(A12,'02_Öğrenciler'!$A$5:$A$203,0)))</x:f>
        <x:v>Elif Şahin</x:v>
      </x:c>
      <x:c r="C12" t="str">
        <x:f>IF(A12="","",INDEX('02_Öğrenciler'!$M$5:$M$203,MATCH(A12,'02_Öğrenciler'!$A$5:$A$203,0)))</x:f>
        <x:v>Turuncu</x:v>
      </x:c>
      <x:c r="D12" s="53" t="str">
        <x:f>IF(A12="","",INDEX('02_Öğrenciler'!$K$5:$K$203,MATCH(A12,'02_Öğrenciler'!$A$5:$A$203,0)))</x:f>
      </x:c>
      <x:c r="E12" s="57" t="n">
        <x:f>IF(A12="","",INDEX('02_Öğrenciler'!$L$5:$L$203,MATCH(A12,'02_Öğrenciler'!$A$5:$A$203,0)))</x:f>
        <x:v>13</x:v>
      </x:c>
      <x:c r="F12" t="str">
        <x:f>IF(C12="Kırmızı","Kritik takip",IF(C12="Turuncu","Tekrar ve ödev takibi",""))</x:f>
        <x:v>Tekrar ve ödev takibi</x:v>
      </x:c>
    </x:row>
    <x:row r="13">
      <x:c r="A13" t="str">
        <x:f>IFERROR(INDEX('02_Öğrenciler'!$A$5:$A$203,MATCH(4,'02_Öğrenciler'!$N$5:$N$203,0)),"")</x:f>
      </x:c>
      <x:c r="B13" t="str">
        <x:f>IF(A13="","",INDEX('02_Öğrenciler'!$B$5:$B$203,MATCH(A13,'02_Öğrenciler'!$A$5:$A$203,0)))</x:f>
      </x:c>
      <x:c r="C13" t="str">
        <x:f>IF(A13="","",INDEX('02_Öğrenciler'!$M$5:$M$203,MATCH(A13,'02_Öğrenciler'!$A$5:$A$203,0)))</x:f>
      </x:c>
      <x:c r="D13" s="53" t="str">
        <x:f>IF(A13="","",INDEX('02_Öğrenciler'!$K$5:$K$203,MATCH(A13,'02_Öğrenciler'!$A$5:$A$203,0)))</x:f>
      </x:c>
      <x:c r="E13" s="57" t="str">
        <x:f>IF(A13="","",INDEX('02_Öğrenciler'!$L$5:$L$203,MATCH(A13,'02_Öğrenciler'!$A$5:$A$203,0)))</x:f>
      </x:c>
      <x:c r="F13" t="str">
        <x:f>IF(C13="Kırmızı","Kritik takip",IF(C13="Turuncu","Tekrar ve ödev takibi",""))</x:f>
      </x:c>
    </x:row>
    <x:row r="14">
      <x:c r="A14" t="str">
        <x:f>IFERROR(INDEX('02_Öğrenciler'!$A$5:$A$203,MATCH(5,'02_Öğrenciler'!$N$5:$N$203,0)),"")</x:f>
      </x:c>
      <x:c r="B14" t="str">
        <x:f>IF(A14="","",INDEX('02_Öğrenciler'!$B$5:$B$203,MATCH(A14,'02_Öğrenciler'!$A$5:$A$203,0)))</x:f>
      </x:c>
      <x:c r="C14" t="str">
        <x:f>IF(A14="","",INDEX('02_Öğrenciler'!$M$5:$M$203,MATCH(A14,'02_Öğrenciler'!$A$5:$A$203,0)))</x:f>
      </x:c>
      <x:c r="D14" s="53" t="str">
        <x:f>IF(A14="","",INDEX('02_Öğrenciler'!$K$5:$K$203,MATCH(A14,'02_Öğrenciler'!$A$5:$A$203,0)))</x:f>
      </x:c>
      <x:c r="E14" s="57" t="str">
        <x:f>IF(A14="","",INDEX('02_Öğrenciler'!$L$5:$L$203,MATCH(A14,'02_Öğrenciler'!$A$5:$A$203,0)))</x:f>
      </x:c>
      <x:c r="F14" t="str">
        <x:f>IF(C14="Kırmızı","Kritik takip",IF(C14="Turuncu","Tekrar ve ödev takibi",""))</x:f>
      </x:c>
    </x:row>
    <x:row r="17">
      <x:c r="A17" s="62" t="str">
        <x:v>HAFTALIK DERS PROGRAMI</x:v>
      </x:c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</x:row>
    <x:row r="18">
      <x:c r="A18" s="22" t="str">
        <x:v>Gün</x:v>
      </x:c>
      <x:c r="B18" s="22" t="str">
        <x:v>Tarih</x:v>
      </x:c>
      <x:c r="C18" s="22" t="str">
        <x:v>Başlangıç</x:v>
      </x:c>
      <x:c r="D18" s="22" t="str">
        <x:v>Öğrenci Kodu</x:v>
      </x:c>
      <x:c r="E18" s="22" t="str">
        <x:v>Ad Soyad</x:v>
      </x:c>
      <x:c r="F18" s="22" t="str">
        <x:v>İşlenecek Konu / Hedef</x:v>
      </x:c>
      <x:c r="G18" s="22" t="str">
        <x:v>Kontrol Edilecek Ödev</x:v>
      </x:c>
      <x:c r="H18" s="22" t="str">
        <x:v>Süre</x:v>
      </x:c>
      <x:c r="I18" s="22" t="str">
        <x:v>Durum</x:v>
      </x:c>
      <x:c r="J18" s="22" t="str">
        <x:v>Son Ders Notu</x:v>
      </x:c>
      <x:c r="K18" s="22" t="str">
        <x:v>Kayıt Kaynağı</x:v>
      </x:c>
      <x:c r="L18" s="22" t="str">
        <x:v>Sıra</x:v>
      </x:c>
      <x:c r="M18" s="22" t="str">
        <x:v>Kayıt Kontrolü</x:v>
      </x:c>
    </x:row>
    <x:row r="19">
      <x:c r="A19" s="30" t="str">
        <x:v>Pazartesi</x:v>
      </x:c>
      <x:c r="B19" s="40" t="n">
        <x:v>46223</x:v>
      </x:c>
      <x:c r="C19" s="154" t="str">
        <x:v>16:00</x:v>
      </x:c>
      <x:c r="D19" s="44" t="n">
        <x:v>1</x:v>
      </x:c>
      <x:c r="E19" s="36" t="str">
        <x:f>IF(D19="","",IFERROR(INDEX('02_Öğrenciler'!$B$5:$B$203,MATCH(D19,'02_Öğrenciler'!$A$5:$A$203,0)),"KOD HATALI"))</x:f>
        <x:v>Ahmet Yılmaz</x:v>
      </x:c>
      <x:c r="F19" s="30" t="str">
        <x:v>Üslü İfadeler - Soru Çözümü</x:v>
      </x:c>
      <x:c r="G19" s="30" t="str">
        <x:v>Test 4 &amp; 5 Çözülecek</x:v>
      </x:c>
      <x:c r="H19" s="30" t="n">
        <x:v>50</x:v>
      </x:c>
      <x:c r="I19" s="30" t="str">
        <x:v>Planlandı</x:v>
      </x:c>
      <x:c r="J19" s="30" t="str">
        <x:v>Tekrar gerekli</x:v>
      </x:c>
      <x:c r="K19" s="36" t="str">
        <x:v>Mevcut Kayıt</x:v>
      </x:c>
      <x:c r="L19" s="36" t="n">
        <x:f>IF(A19="","",ROW()-18)</x:f>
        <x:v>1</x:v>
      </x:c>
      <x:c r="M19" s="36" t="str">
        <x:f>IF(A19="","",IF(COUNTIF('02_Öğrenciler'!$A$5:$A$203,D19)=0,"Öğrenci Kodu Hatalı",IF(OR(B19="",C19="",F19="",H19="",I19=""),"Eksik Alan",IF(COUNTIFS($B$19:B19,B19,$C$19:C19,C19,$D$19:D19,D19)&gt;1,"Çakışan Ders","Uygun"))))</x:f>
        <x:v>Uygun</x:v>
      </x:c>
    </x:row>
    <x:row r="20">
      <x:c r="A20" s="30" t="str">
        <x:v>Salı</x:v>
      </x:c>
      <x:c r="B20" s="40" t="n">
        <x:v>46224</x:v>
      </x:c>
      <x:c r="C20" s="154" t="str">
        <x:v>17:00</x:v>
      </x:c>
      <x:c r="D20" s="44" t="n">
        <x:v>2</x:v>
      </x:c>
      <x:c r="E20" s="36" t="str">
        <x:f>IF(D20="","",IFERROR(INDEX('02_Öğrenciler'!$B$5:$B$203,MATCH(D20,'02_Öğrenciler'!$A$5:$A$203,0)),"KOD HATALI"))</x:f>
        <x:v>Zeynep Kaya</x:v>
      </x:c>
      <x:c r="F20" s="30" t="str">
        <x:v>Kareköklü İfadeler Giriş</x:v>
      </x:c>
      <x:c r="G20" s="30" t="str">
        <x:v>Sayfa 42-45 Arası</x:v>
      </x:c>
      <x:c r="H20" s="30" t="n">
        <x:v>50</x:v>
      </x:c>
      <x:c r="I20" s="30" t="str">
        <x:v>Planlandı</x:v>
      </x:c>
      <x:c r="J20" s="30" t="str">
        <x:v>Konuyu öğrendi</x:v>
      </x:c>
      <x:c r="K20" s="36" t="str">
        <x:v>Mevcut Kayıt</x:v>
      </x:c>
      <x:c r="L20" s="36" t="n">
        <x:f>IF(A20="","",ROW()-18)</x:f>
        <x:v>2</x:v>
      </x:c>
      <x:c r="M20" s="36" t="str">
        <x:f>IF(A20="","",IF(COUNTIF('02_Öğrenciler'!$A$5:$A$203,D20)=0,"Öğrenci Kodu Hatalı",IF(OR(B20="",C20="",F20="",H20="",I20=""),"Eksik Alan",IF(COUNTIFS($B$19:B20,B20,$C$19:C20,C20,$D$19:D20,D20)&gt;1,"Çakışan Ders","Uygun"))))</x:f>
        <x:v>Uygun</x:v>
      </x:c>
    </x:row>
    <x:row r="21">
      <x:c r="A21" s="30" t="str">
        <x:v>Çarşamba</x:v>
      </x:c>
      <x:c r="B21" s="40" t="n">
        <x:v>46225</x:v>
      </x:c>
      <x:c r="C21" s="154" t="str">
        <x:v>16:30</x:v>
      </x:c>
      <x:c r="D21" s="44" t="n">
        <x:v>3</x:v>
      </x:c>
      <x:c r="E21" s="36" t="str">
        <x:f>IF(D21="","",IFERROR(INDEX('02_Öğrenciler'!$B$5:$B$203,MATCH(D21,'02_Öğrenciler'!$A$5:$A$203,0)),"KOD HATALI"))</x:f>
        <x:v>Mehmet Demir</x:v>
      </x:c>
      <x:c r="F21" s="30" t="str">
        <x:v>Çarpanlar ve Katlar LGS</x:v>
      </x:c>
      <x:c r="G21" s="30" t="str">
        <x:v>MEB Örnek Sorular</x:v>
      </x:c>
      <x:c r="H21" s="30" t="n">
        <x:v>50</x:v>
      </x:c>
      <x:c r="I21" s="30" t="str">
        <x:v>Planlandı</x:v>
      </x:c>
      <x:c r="J21" s="30" t="str">
        <x:v>İşlem hatası fazla</x:v>
      </x:c>
      <x:c r="K21" s="36" t="str">
        <x:v>Mevcut Kayıt</x:v>
      </x:c>
      <x:c r="L21" s="36" t="n">
        <x:f>IF(A21="","",ROW()-18)</x:f>
        <x:v>3</x:v>
      </x:c>
      <x:c r="M21" s="36" t="str">
        <x:f>IF(A21="","",IF(COUNTIF('02_Öğrenciler'!$A$5:$A$203,D21)=0,"Öğrenci Kodu Hatalı",IF(OR(B21="",C21="",F21="",H21="",I21=""),"Eksik Alan",IF(COUNTIFS($B$19:B21,B21,$C$19:C21,C21,$D$19:D21,D21)&gt;1,"Çakışan Ders","Uygun"))))</x:f>
        <x:v>Uygun</x:v>
      </x:c>
    </x:row>
    <x:row r="22">
      <x:c r="A22" s="30" t="str">
        <x:v>Perşembe</x:v>
      </x:c>
      <x:c r="B22" s="40" t="n">
        <x:v>46226</x:v>
      </x:c>
      <x:c r="C22" s="154" t="str">
        <x:v>18:00</x:v>
      </x:c>
      <x:c r="D22" s="44" t="n">
        <x:v>4</x:v>
      </x:c>
      <x:c r="E22" s="36" t="str">
        <x:f>IF(D22="","",IFERROR(INDEX('02_Öğrenciler'!$B$5:$B$203,MATCH(D22,'02_Öğrenciler'!$A$5:$A$203,0)),"KOD HATALI"))</x:f>
        <x:v>Elif Şahin</x:v>
      </x:c>
      <x:c r="F22" s="30" t="str">
        <x:v>Veri Analizi Grafikler</x:v>
      </x:c>
      <x:c r="G22" s="30" t="str">
        <x:v>Fasikül 3 Bitirilecek</x:v>
      </x:c>
      <x:c r="H22" s="30" t="n">
        <x:v>50</x:v>
      </x:c>
      <x:c r="I22" s="30" t="str">
        <x:v>Planlandı</x:v>
      </x:c>
      <x:c r="J22" s="30" t="str">
        <x:v>Yeni nesil sorularda zorlanıyor</x:v>
      </x:c>
      <x:c r="K22" s="36" t="str">
        <x:v>Mevcut Kayıt</x:v>
      </x:c>
      <x:c r="L22" s="36" t="n">
        <x:f>IF(A22="","",ROW()-18)</x:f>
        <x:v>4</x:v>
      </x:c>
      <x:c r="M22" s="36" t="str">
        <x:f>IF(A22="","",IF(COUNTIF('02_Öğrenciler'!$A$5:$A$203,D22)=0,"Öğrenci Kodu Hatalı",IF(OR(B22="",C22="",F22="",H22="",I22=""),"Eksik Alan",IF(COUNTIFS($B$19:B22,B22,$C$19:C22,C22,$D$19:D22,D22)&gt;1,"Çakışan Ders","Uygun"))))</x:f>
        <x:v>Uygun</x:v>
      </x:c>
    </x:row>
    <x:row r="23">
      <x:c r="A23" s="30" t="str">
        <x:v>Cuma</x:v>
      </x:c>
      <x:c r="B23" s="40" t="n">
        <x:v>46227</x:v>
      </x:c>
      <x:c r="C23" s="154" t="str">
        <x:v>15:30</x:v>
      </x:c>
      <x:c r="D23" s="44" t="n">
        <x:v>5</x:v>
      </x:c>
      <x:c r="E23" s="36" t="str">
        <x:f>IF(D23="","",IFERROR(INDEX('02_Öğrenciler'!$B$5:$B$203,MATCH(D23,'02_Öğrenciler'!$A$5:$A$203,0)),"KOD HATALI"))</x:f>
        <x:v>Can Öztürk</x:v>
      </x:c>
      <x:c r="F23" s="30" t="str">
        <x:v>Olasılık Temel Kavramlar</x:v>
      </x:c>
      <x:c r="G23" s="30" t="str">
        <x:v>20 Soru Mini Test</x:v>
      </x:c>
      <x:c r="H23" s="30" t="n">
        <x:v>50</x:v>
      </x:c>
      <x:c r="I23" s="30" t="str">
        <x:v>Planlandı</x:v>
      </x:c>
      <x:c r="J23" s="30" t="str">
        <x:v>Konuyu öğrendi</x:v>
      </x:c>
      <x:c r="K23" s="36" t="str">
        <x:v>Mevcut Kayıt</x:v>
      </x:c>
      <x:c r="L23" s="36" t="n">
        <x:f>IF(A23="","",ROW()-18)</x:f>
        <x:v>5</x:v>
      </x:c>
      <x:c r="M23" s="36" t="str">
        <x:f>IF(A23="","",IF(COUNTIF('02_Öğrenciler'!$A$5:$A$203,D23)=0,"Öğrenci Kodu Hatalı",IF(OR(B23="",C23="",F23="",H23="",I23=""),"Eksik Alan",IF(COUNTIFS($B$19:B23,B23,$C$19:C23,C23,$D$19:D23,D23)&gt;1,"Çakışan Ders","Uygun"))))</x:f>
        <x:v>Uygun</x:v>
      </x:c>
    </x:row>
    <x:row r="24">
      <x:c r="A24" s="30"/>
      <x:c r="B24" s="40"/>
      <x:c r="C24" s="154"/>
      <x:c r="D24" s="44"/>
      <x:c r="E24" s="36" t="str">
        <x:f>IF(D24="","",IFERROR(INDEX('02_Öğrenciler'!$B$5:$B$203,MATCH(D24,'02_Öğrenciler'!$A$5:$A$203,0)),"KOD HATALI"))</x:f>
      </x:c>
      <x:c r="F24" s="30"/>
      <x:c r="G24" s="30"/>
      <x:c r="H24" s="30"/>
      <x:c r="I24" s="30"/>
      <x:c r="J24" s="30"/>
      <x:c r="K24" s="36" t="str">
        <x:f>IF(A24="","","Excel Girişi")</x:f>
      </x:c>
      <x:c r="L24" s="36" t="str">
        <x:f>IF(A24="","",ROW()-18)</x:f>
      </x:c>
      <x:c r="M24" s="36" t="str">
        <x:f>IF(A24="","",IF(COUNTIF('02_Öğrenciler'!$A$5:$A$203,D24)=0,"Öğrenci Kodu Hatalı",IF(OR(B24="",C24="",F24="",H24="",I24=""),"Eksik Alan",IF(COUNTIFS($B$19:B24,B24,$C$19:C24,C24,$D$19:D24,D24)&gt;1,"Çakışan Ders","Uygun"))))</x:f>
      </x:c>
    </x:row>
    <x:row r="25">
      <x:c r="B25" s="41"/>
      <x:c r="C25" s="155"/>
      <x:c r="D25" s="45"/>
    </x:row>
    <x:row r="26">
      <x:c r="B26" s="41"/>
      <x:c r="C26" s="155"/>
      <x:c r="D26" s="45"/>
    </x:row>
    <x:row r="27">
      <x:c r="B27" s="41"/>
      <x:c r="C27" s="155"/>
      <x:c r="D27" s="45"/>
    </x:row>
    <x:row r="28">
      <x:c r="B28" s="41"/>
      <x:c r="C28" s="155"/>
      <x:c r="D28" s="45"/>
    </x:row>
    <x:row r="29">
      <x:c r="B29" s="41"/>
      <x:c r="C29" s="155"/>
      <x:c r="D29" s="45"/>
    </x:row>
    <x:row r="30">
      <x:c r="B30" s="41"/>
      <x:c r="C30" s="155"/>
      <x:c r="D30" s="45"/>
    </x:row>
    <x:row r="31">
      <x:c r="B31" s="41"/>
      <x:c r="C31" s="155"/>
      <x:c r="D31" s="45"/>
    </x:row>
    <x:row r="32">
      <x:c r="B32" s="41"/>
      <x:c r="C32" s="155"/>
      <x:c r="D32" s="45"/>
    </x:row>
    <x:row r="33">
      <x:c r="B33" s="41"/>
      <x:c r="C33" s="155"/>
      <x:c r="D33" s="45"/>
    </x:row>
    <x:row r="34">
      <x:c r="B34" s="41"/>
      <x:c r="C34" s="155"/>
      <x:c r="D34" s="45"/>
    </x:row>
    <x:row r="35">
      <x:c r="B35" s="41"/>
      <x:c r="C35" s="155"/>
      <x:c r="D35" s="45"/>
    </x:row>
    <x:row r="36">
      <x:c r="B36" s="41"/>
      <x:c r="C36" s="155"/>
      <x:c r="D36" s="45"/>
    </x:row>
    <x:row r="37">
      <x:c r="B37" s="41"/>
      <x:c r="C37" s="155"/>
      <x:c r="D37" s="45"/>
    </x:row>
    <x:row r="38">
      <x:c r="B38" s="41"/>
      <x:c r="C38" s="155"/>
      <x:c r="D38" s="45"/>
    </x:row>
    <x:row r="39">
      <x:c r="B39" s="41"/>
      <x:c r="C39" s="155"/>
      <x:c r="D39" s="45"/>
    </x:row>
    <x:row r="40">
      <x:c r="B40" s="41"/>
      <x:c r="C40" s="155"/>
      <x:c r="D40" s="45"/>
    </x:row>
    <x:row r="41">
      <x:c r="B41" s="41"/>
      <x:c r="C41" s="155"/>
      <x:c r="D41" s="45"/>
    </x:row>
    <x:row r="42">
      <x:c r="B42" s="41"/>
      <x:c r="C42" s="155"/>
      <x:c r="D42" s="45"/>
    </x:row>
    <x:row r="43">
      <x:c r="B43" s="41"/>
      <x:c r="C43" s="155"/>
      <x:c r="D43" s="45"/>
    </x:row>
    <x:row r="44">
      <x:c r="B44" s="41"/>
      <x:c r="C44" s="155"/>
      <x:c r="D44" s="45"/>
    </x:row>
    <x:row r="45">
      <x:c r="B45" s="41"/>
      <x:c r="C45" s="155"/>
      <x:c r="D45" s="45"/>
    </x:row>
    <x:row r="46">
      <x:c r="B46" s="41"/>
      <x:c r="C46" s="155"/>
      <x:c r="D46" s="45"/>
    </x:row>
    <x:row r="47">
      <x:c r="B47" s="41"/>
      <x:c r="C47" s="155"/>
      <x:c r="D47" s="45"/>
    </x:row>
    <x:row r="48">
      <x:c r="B48" s="41"/>
      <x:c r="C48" s="155"/>
      <x:c r="D48" s="45"/>
    </x:row>
    <x:row r="49">
      <x:c r="B49" s="41"/>
      <x:c r="C49" s="155"/>
      <x:c r="D49" s="45"/>
    </x:row>
    <x:row r="50">
      <x:c r="B50" s="41"/>
      <x:c r="C50" s="155"/>
      <x:c r="D50" s="45"/>
    </x:row>
    <x:row r="51">
      <x:c r="B51" s="41"/>
      <x:c r="C51" s="155"/>
      <x:c r="D51" s="45"/>
    </x:row>
    <x:row r="52">
      <x:c r="B52" s="41"/>
      <x:c r="C52" s="155"/>
      <x:c r="D52" s="45"/>
    </x:row>
    <x:row r="53">
      <x:c r="B53" s="41"/>
      <x:c r="C53" s="155"/>
      <x:c r="D53" s="45"/>
    </x:row>
    <x:row r="54">
      <x:c r="B54" s="41"/>
      <x:c r="C54" s="155"/>
      <x:c r="D54" s="45"/>
    </x:row>
    <x:row r="55">
      <x:c r="B55" s="41"/>
      <x:c r="C55" s="155"/>
      <x:c r="D55" s="45"/>
    </x:row>
    <x:row r="56">
      <x:c r="B56" s="41"/>
      <x:c r="C56" s="155"/>
      <x:c r="D56" s="45"/>
    </x:row>
    <x:row r="57">
      <x:c r="B57" s="41"/>
      <x:c r="C57" s="155"/>
      <x:c r="D57" s="45"/>
    </x:row>
    <x:row r="58">
      <x:c r="B58" s="41"/>
      <x:c r="C58" s="155"/>
      <x:c r="D58" s="45"/>
    </x:row>
    <x:row r="59">
      <x:c r="B59" s="41"/>
      <x:c r="C59" s="155"/>
      <x:c r="D59" s="45"/>
    </x:row>
    <x:row r="60">
      <x:c r="B60" s="41"/>
      <x:c r="C60" s="155"/>
      <x:c r="D60" s="45"/>
    </x:row>
    <x:row r="61">
      <x:c r="B61" s="41"/>
      <x:c r="C61" s="155"/>
      <x:c r="D61" s="45"/>
    </x:row>
    <x:row r="62">
      <x:c r="B62" s="41"/>
      <x:c r="C62" s="155"/>
      <x:c r="D62" s="45"/>
    </x:row>
    <x:row r="63">
      <x:c r="B63" s="41"/>
      <x:c r="C63" s="155"/>
      <x:c r="D63" s="45"/>
    </x:row>
    <x:row r="64">
      <x:c r="B64" s="41"/>
      <x:c r="C64" s="155"/>
      <x:c r="D64" s="45"/>
    </x:row>
    <x:row r="65">
      <x:c r="B65" s="41"/>
      <x:c r="C65" s="155"/>
      <x:c r="D65" s="45"/>
    </x:row>
    <x:row r="66">
      <x:c r="B66" s="41"/>
      <x:c r="C66" s="155"/>
      <x:c r="D66" s="45"/>
    </x:row>
    <x:row r="67">
      <x:c r="B67" s="41"/>
      <x:c r="C67" s="155"/>
      <x:c r="D67" s="45"/>
    </x:row>
    <x:row r="68">
      <x:c r="B68" s="41"/>
      <x:c r="C68" s="155"/>
      <x:c r="D68" s="45"/>
    </x:row>
    <x:row r="69">
      <x:c r="B69" s="41"/>
      <x:c r="C69" s="155"/>
      <x:c r="D69" s="45"/>
    </x:row>
    <x:row r="70">
      <x:c r="B70" s="41"/>
      <x:c r="C70" s="155"/>
      <x:c r="D70" s="45"/>
    </x:row>
    <x:row r="71">
      <x:c r="B71" s="41"/>
      <x:c r="C71" s="155"/>
      <x:c r="D71" s="45"/>
    </x:row>
    <x:row r="72">
      <x:c r="B72" s="41"/>
      <x:c r="C72" s="155"/>
      <x:c r="D72" s="45"/>
    </x:row>
    <x:row r="73">
      <x:c r="B73" s="41"/>
      <x:c r="C73" s="155"/>
      <x:c r="D73" s="45"/>
    </x:row>
    <x:row r="74">
      <x:c r="B74" s="41"/>
      <x:c r="C74" s="155"/>
      <x:c r="D74" s="45"/>
    </x:row>
    <x:row r="75">
      <x:c r="B75" s="41"/>
      <x:c r="C75" s="155"/>
      <x:c r="D75" s="45"/>
    </x:row>
    <x:row r="76">
      <x:c r="B76" s="41"/>
      <x:c r="C76" s="155"/>
      <x:c r="D76" s="45"/>
    </x:row>
    <x:row r="77">
      <x:c r="B77" s="41"/>
      <x:c r="C77" s="155"/>
      <x:c r="D77" s="45"/>
    </x:row>
    <x:row r="78">
      <x:c r="B78" s="41"/>
      <x:c r="C78" s="155"/>
      <x:c r="D78" s="45"/>
    </x:row>
    <x:row r="79">
      <x:c r="B79" s="41"/>
      <x:c r="C79" s="155"/>
      <x:c r="D79" s="45"/>
    </x:row>
    <x:row r="80">
      <x:c r="B80" s="41"/>
      <x:c r="C80" s="155"/>
      <x:c r="D80" s="45"/>
    </x:row>
    <x:row r="81">
      <x:c r="B81" s="41"/>
      <x:c r="C81" s="155"/>
      <x:c r="D81" s="45"/>
    </x:row>
    <x:row r="82">
      <x:c r="B82" s="41"/>
      <x:c r="C82" s="155"/>
      <x:c r="D82" s="45"/>
    </x:row>
    <x:row r="83">
      <x:c r="B83" s="41"/>
      <x:c r="C83" s="155"/>
      <x:c r="D83" s="45"/>
    </x:row>
    <x:row r="84">
      <x:c r="B84" s="41"/>
      <x:c r="C84" s="155"/>
      <x:c r="D84" s="45"/>
    </x:row>
    <x:row r="85">
      <x:c r="B85" s="41"/>
      <x:c r="C85" s="155"/>
      <x:c r="D85" s="45"/>
    </x:row>
    <x:row r="86">
      <x:c r="B86" s="41"/>
      <x:c r="C86" s="155"/>
      <x:c r="D86" s="45"/>
    </x:row>
    <x:row r="87">
      <x:c r="B87" s="41"/>
      <x:c r="C87" s="155"/>
      <x:c r="D87" s="45"/>
    </x:row>
    <x:row r="88">
      <x:c r="B88" s="41"/>
      <x:c r="C88" s="155"/>
      <x:c r="D88" s="45"/>
    </x:row>
    <x:row r="89">
      <x:c r="B89" s="41"/>
      <x:c r="C89" s="155"/>
      <x:c r="D89" s="45"/>
    </x:row>
    <x:row r="90">
      <x:c r="B90" s="41"/>
      <x:c r="C90" s="155"/>
      <x:c r="D90" s="45"/>
    </x:row>
    <x:row r="91">
      <x:c r="B91" s="41"/>
      <x:c r="C91" s="155"/>
      <x:c r="D91" s="45"/>
    </x:row>
    <x:row r="92">
      <x:c r="B92" s="41"/>
      <x:c r="C92" s="155"/>
      <x:c r="D92" s="45"/>
    </x:row>
    <x:row r="93">
      <x:c r="B93" s="41"/>
      <x:c r="C93" s="155"/>
      <x:c r="D93" s="45"/>
    </x:row>
    <x:row r="94">
      <x:c r="B94" s="41"/>
      <x:c r="C94" s="155"/>
      <x:c r="D94" s="45"/>
    </x:row>
    <x:row r="95">
      <x:c r="B95" s="41"/>
      <x:c r="C95" s="155"/>
      <x:c r="D95" s="45"/>
    </x:row>
    <x:row r="96">
      <x:c r="B96" s="41"/>
      <x:c r="C96" s="155"/>
      <x:c r="D96" s="45"/>
    </x:row>
    <x:row r="97">
      <x:c r="B97" s="41"/>
      <x:c r="C97" s="155"/>
      <x:c r="D97" s="45"/>
    </x:row>
    <x:row r="98">
      <x:c r="B98" s="41"/>
      <x:c r="C98" s="155"/>
      <x:c r="D98" s="45"/>
    </x:row>
    <x:row r="99">
      <x:c r="B99" s="41"/>
      <x:c r="C99" s="155"/>
      <x:c r="D99" s="45"/>
    </x:row>
    <x:row r="100">
      <x:c r="B100" s="41"/>
      <x:c r="C100" s="155"/>
      <x:c r="D100" s="45"/>
    </x:row>
    <x:row r="101">
      <x:c r="B101" s="41"/>
      <x:c r="C101" s="155"/>
      <x:c r="D101" s="45"/>
    </x:row>
    <x:row r="102">
      <x:c r="B102" s="41"/>
      <x:c r="C102" s="155"/>
      <x:c r="D102" s="45"/>
    </x:row>
    <x:row r="103">
      <x:c r="B103" s="41"/>
      <x:c r="C103" s="155"/>
      <x:c r="D103" s="45"/>
    </x:row>
    <x:row r="104">
      <x:c r="B104" s="41"/>
      <x:c r="C104" s="155"/>
      <x:c r="D104" s="45"/>
    </x:row>
    <x:row r="105">
      <x:c r="B105" s="41"/>
      <x:c r="C105" s="155"/>
      <x:c r="D105" s="45"/>
    </x:row>
    <x:row r="106">
      <x:c r="B106" s="41"/>
      <x:c r="C106" s="155"/>
      <x:c r="D106" s="45"/>
    </x:row>
    <x:row r="107">
      <x:c r="B107" s="41"/>
      <x:c r="C107" s="155"/>
      <x:c r="D107" s="45"/>
    </x:row>
    <x:row r="108">
      <x:c r="B108" s="41"/>
      <x:c r="C108" s="155"/>
      <x:c r="D108" s="45"/>
    </x:row>
    <x:row r="109">
      <x:c r="B109" s="41"/>
      <x:c r="C109" s="155"/>
      <x:c r="D109" s="45"/>
    </x:row>
    <x:row r="110">
      <x:c r="B110" s="41"/>
      <x:c r="C110" s="155"/>
      <x:c r="D110" s="45"/>
    </x:row>
    <x:row r="111">
      <x:c r="B111" s="41"/>
      <x:c r="C111" s="155"/>
      <x:c r="D111" s="45"/>
    </x:row>
    <x:row r="112">
      <x:c r="B112" s="41"/>
      <x:c r="C112" s="155"/>
      <x:c r="D112" s="45"/>
    </x:row>
    <x:row r="113">
      <x:c r="B113" s="41"/>
      <x:c r="C113" s="155"/>
      <x:c r="D113" s="45"/>
    </x:row>
    <x:row r="114">
      <x:c r="B114" s="41"/>
      <x:c r="C114" s="155"/>
      <x:c r="D114" s="45"/>
    </x:row>
    <x:row r="115">
      <x:c r="B115" s="41"/>
      <x:c r="C115" s="155"/>
      <x:c r="D115" s="45"/>
    </x:row>
    <x:row r="116">
      <x:c r="B116" s="41"/>
      <x:c r="C116" s="155"/>
      <x:c r="D116" s="45"/>
    </x:row>
    <x:row r="117">
      <x:c r="B117" s="41"/>
      <x:c r="C117" s="155"/>
      <x:c r="D117" s="45"/>
    </x:row>
    <x:row r="118">
      <x:c r="B118" s="41"/>
      <x:c r="C118" s="155"/>
      <x:c r="D118" s="45"/>
    </x:row>
    <x:row r="119">
      <x:c r="B119" s="41"/>
      <x:c r="C119" s="155"/>
      <x:c r="D119" s="45"/>
    </x:row>
    <x:row r="120">
      <x:c r="B120" s="41"/>
      <x:c r="C120" s="155"/>
      <x:c r="D120" s="45"/>
    </x:row>
    <x:row r="121">
      <x:c r="B121" s="41"/>
      <x:c r="C121" s="155"/>
      <x:c r="D121" s="45"/>
    </x:row>
    <x:row r="122">
      <x:c r="B122" s="41"/>
      <x:c r="C122" s="155"/>
      <x:c r="D122" s="45"/>
    </x:row>
    <x:row r="123">
      <x:c r="B123" s="41"/>
      <x:c r="C123" s="155"/>
      <x:c r="D123" s="45"/>
    </x:row>
    <x:row r="124">
      <x:c r="B124" s="41"/>
      <x:c r="C124" s="155"/>
      <x:c r="D124" s="45"/>
    </x:row>
    <x:row r="125">
      <x:c r="B125" s="41"/>
      <x:c r="C125" s="155"/>
      <x:c r="D125" s="45"/>
    </x:row>
    <x:row r="126">
      <x:c r="B126" s="41"/>
      <x:c r="C126" s="155"/>
      <x:c r="D126" s="45"/>
    </x:row>
    <x:row r="127">
      <x:c r="B127" s="41"/>
      <x:c r="C127" s="155"/>
      <x:c r="D127" s="45"/>
    </x:row>
    <x:row r="128">
      <x:c r="B128" s="41"/>
      <x:c r="C128" s="155"/>
      <x:c r="D128" s="45"/>
    </x:row>
    <x:row r="129">
      <x:c r="B129" s="41"/>
      <x:c r="C129" s="155"/>
      <x:c r="D129" s="45"/>
    </x:row>
    <x:row r="130">
      <x:c r="B130" s="41"/>
      <x:c r="C130" s="155"/>
      <x:c r="D130" s="45"/>
    </x:row>
    <x:row r="131">
      <x:c r="B131" s="41"/>
      <x:c r="C131" s="155"/>
      <x:c r="D131" s="45"/>
    </x:row>
    <x:row r="132">
      <x:c r="B132" s="41"/>
      <x:c r="C132" s="155"/>
      <x:c r="D132" s="45"/>
    </x:row>
    <x:row r="133">
      <x:c r="B133" s="41"/>
      <x:c r="C133" s="155"/>
      <x:c r="D133" s="45"/>
    </x:row>
    <x:row r="134">
      <x:c r="B134" s="41"/>
      <x:c r="C134" s="155"/>
      <x:c r="D134" s="45"/>
    </x:row>
    <x:row r="135">
      <x:c r="B135" s="41"/>
      <x:c r="C135" s="155"/>
      <x:c r="D135" s="45"/>
    </x:row>
    <x:row r="136">
      <x:c r="B136" s="41"/>
      <x:c r="C136" s="155"/>
      <x:c r="D136" s="45"/>
    </x:row>
    <x:row r="137">
      <x:c r="B137" s="41"/>
      <x:c r="C137" s="155"/>
      <x:c r="D137" s="45"/>
    </x:row>
    <x:row r="138">
      <x:c r="B138" s="41"/>
      <x:c r="C138" s="155"/>
      <x:c r="D138" s="45"/>
    </x:row>
    <x:row r="139">
      <x:c r="B139" s="41"/>
      <x:c r="C139" s="155"/>
      <x:c r="D139" s="45"/>
    </x:row>
    <x:row r="140">
      <x:c r="B140" s="41"/>
      <x:c r="C140" s="155"/>
      <x:c r="D140" s="45"/>
    </x:row>
    <x:row r="141">
      <x:c r="B141" s="41"/>
      <x:c r="C141" s="155"/>
      <x:c r="D141" s="45"/>
    </x:row>
    <x:row r="142">
      <x:c r="B142" s="41"/>
      <x:c r="C142" s="155"/>
      <x:c r="D142" s="45"/>
    </x:row>
    <x:row r="143">
      <x:c r="B143" s="41"/>
      <x:c r="C143" s="155"/>
      <x:c r="D143" s="45"/>
    </x:row>
    <x:row r="144">
      <x:c r="B144" s="41"/>
      <x:c r="C144" s="155"/>
      <x:c r="D144" s="45"/>
    </x:row>
    <x:row r="145">
      <x:c r="B145" s="41"/>
      <x:c r="C145" s="155"/>
      <x:c r="D145" s="45"/>
    </x:row>
    <x:row r="146">
      <x:c r="B146" s="41"/>
      <x:c r="C146" s="155"/>
      <x:c r="D146" s="45"/>
    </x:row>
    <x:row r="147">
      <x:c r="B147" s="41"/>
      <x:c r="C147" s="155"/>
      <x:c r="D147" s="45"/>
    </x:row>
    <x:row r="148">
      <x:c r="B148" s="41"/>
      <x:c r="C148" s="155"/>
      <x:c r="D148" s="45"/>
    </x:row>
    <x:row r="149">
      <x:c r="B149" s="41"/>
      <x:c r="C149" s="155"/>
      <x:c r="D149" s="45"/>
    </x:row>
    <x:row r="150">
      <x:c r="B150" s="41"/>
      <x:c r="C150" s="155"/>
      <x:c r="D150" s="45"/>
    </x:row>
    <x:row r="151">
      <x:c r="B151" s="41"/>
      <x:c r="C151" s="155"/>
      <x:c r="D151" s="45"/>
    </x:row>
    <x:row r="152">
      <x:c r="B152" s="41"/>
      <x:c r="C152" s="155"/>
      <x:c r="D152" s="45"/>
    </x:row>
    <x:row r="153">
      <x:c r="B153" s="41"/>
      <x:c r="C153" s="155"/>
      <x:c r="D153" s="45"/>
    </x:row>
    <x:row r="154">
      <x:c r="B154" s="41"/>
      <x:c r="C154" s="155"/>
      <x:c r="D154" s="45"/>
    </x:row>
    <x:row r="155">
      <x:c r="B155" s="41"/>
      <x:c r="C155" s="155"/>
      <x:c r="D155" s="45"/>
    </x:row>
    <x:row r="156">
      <x:c r="B156" s="41"/>
      <x:c r="C156" s="155"/>
      <x:c r="D156" s="45"/>
    </x:row>
    <x:row r="157">
      <x:c r="B157" s="41"/>
      <x:c r="C157" s="155"/>
      <x:c r="D157" s="45"/>
    </x:row>
    <x:row r="158">
      <x:c r="B158" s="41"/>
      <x:c r="C158" s="155"/>
      <x:c r="D158" s="45"/>
    </x:row>
    <x:row r="159">
      <x:c r="B159" s="41"/>
      <x:c r="C159" s="155"/>
      <x:c r="D159" s="45"/>
    </x:row>
    <x:row r="160">
      <x:c r="B160" s="41"/>
      <x:c r="C160" s="155"/>
      <x:c r="D160" s="45"/>
    </x:row>
    <x:row r="161">
      <x:c r="B161" s="41"/>
      <x:c r="C161" s="155"/>
      <x:c r="D161" s="45"/>
    </x:row>
    <x:row r="162">
      <x:c r="B162" s="41"/>
      <x:c r="C162" s="155"/>
      <x:c r="D162" s="45"/>
    </x:row>
    <x:row r="163">
      <x:c r="B163" s="41"/>
      <x:c r="C163" s="155"/>
      <x:c r="D163" s="45"/>
    </x:row>
    <x:row r="164">
      <x:c r="B164" s="41"/>
      <x:c r="C164" s="155"/>
      <x:c r="D164" s="45"/>
    </x:row>
    <x:row r="165">
      <x:c r="B165" s="41"/>
      <x:c r="C165" s="155"/>
      <x:c r="D165" s="45"/>
    </x:row>
    <x:row r="166">
      <x:c r="B166" s="41"/>
      <x:c r="C166" s="155"/>
      <x:c r="D166" s="45"/>
    </x:row>
    <x:row r="167">
      <x:c r="B167" s="41"/>
      <x:c r="C167" s="155"/>
      <x:c r="D167" s="45"/>
    </x:row>
    <x:row r="168">
      <x:c r="B168" s="41"/>
      <x:c r="C168" s="155"/>
      <x:c r="D168" s="45"/>
    </x:row>
    <x:row r="169">
      <x:c r="B169" s="41"/>
      <x:c r="C169" s="155"/>
      <x:c r="D169" s="45"/>
    </x:row>
    <x:row r="170">
      <x:c r="B170" s="41"/>
      <x:c r="C170" s="155"/>
      <x:c r="D170" s="45"/>
    </x:row>
    <x:row r="171">
      <x:c r="B171" s="41"/>
      <x:c r="C171" s="155"/>
      <x:c r="D171" s="45"/>
    </x:row>
    <x:row r="172">
      <x:c r="B172" s="41"/>
      <x:c r="C172" s="155"/>
      <x:c r="D172" s="45"/>
    </x:row>
    <x:row r="173">
      <x:c r="B173" s="41"/>
      <x:c r="C173" s="155"/>
      <x:c r="D173" s="45"/>
    </x:row>
    <x:row r="174">
      <x:c r="B174" s="41"/>
      <x:c r="C174" s="155"/>
      <x:c r="D174" s="45"/>
    </x:row>
    <x:row r="175">
      <x:c r="B175" s="41"/>
      <x:c r="C175" s="155"/>
      <x:c r="D175" s="45"/>
    </x:row>
    <x:row r="176">
      <x:c r="B176" s="41"/>
      <x:c r="C176" s="155"/>
      <x:c r="D176" s="45"/>
    </x:row>
    <x:row r="177">
      <x:c r="B177" s="41"/>
      <x:c r="C177" s="155"/>
      <x:c r="D177" s="45"/>
    </x:row>
    <x:row r="178">
      <x:c r="B178" s="41"/>
      <x:c r="C178" s="155"/>
      <x:c r="D178" s="45"/>
    </x:row>
    <x:row r="179">
      <x:c r="B179" s="41"/>
      <x:c r="C179" s="155"/>
      <x:c r="D179" s="45"/>
    </x:row>
    <x:row r="180">
      <x:c r="B180" s="41"/>
      <x:c r="C180" s="155"/>
      <x:c r="D180" s="45"/>
    </x:row>
    <x:row r="181">
      <x:c r="B181" s="41"/>
      <x:c r="C181" s="155"/>
      <x:c r="D181" s="45"/>
    </x:row>
    <x:row r="182">
      <x:c r="B182" s="41"/>
      <x:c r="C182" s="155"/>
      <x:c r="D182" s="45"/>
    </x:row>
    <x:row r="183">
      <x:c r="B183" s="41"/>
      <x:c r="C183" s="155"/>
      <x:c r="D183" s="45"/>
    </x:row>
    <x:row r="184">
      <x:c r="B184" s="41"/>
      <x:c r="C184" s="155"/>
      <x:c r="D184" s="45"/>
    </x:row>
    <x:row r="185">
      <x:c r="B185" s="41"/>
      <x:c r="C185" s="155"/>
      <x:c r="D185" s="45"/>
    </x:row>
    <x:row r="186">
      <x:c r="B186" s="41"/>
      <x:c r="C186" s="155"/>
      <x:c r="D186" s="45"/>
    </x:row>
    <x:row r="187">
      <x:c r="B187" s="41"/>
      <x:c r="C187" s="155"/>
      <x:c r="D187" s="45"/>
    </x:row>
    <x:row r="188">
      <x:c r="B188" s="41"/>
      <x:c r="C188" s="155"/>
      <x:c r="D188" s="45"/>
    </x:row>
    <x:row r="189">
      <x:c r="B189" s="41"/>
      <x:c r="C189" s="155"/>
      <x:c r="D189" s="45"/>
    </x:row>
    <x:row r="190">
      <x:c r="B190" s="41"/>
      <x:c r="C190" s="155"/>
      <x:c r="D190" s="45"/>
    </x:row>
    <x:row r="191">
      <x:c r="B191" s="41"/>
      <x:c r="C191" s="155"/>
      <x:c r="D191" s="45"/>
    </x:row>
    <x:row r="192">
      <x:c r="B192" s="41"/>
      <x:c r="C192" s="155"/>
      <x:c r="D192" s="45"/>
    </x:row>
    <x:row r="193">
      <x:c r="B193" s="41"/>
      <x:c r="C193" s="155"/>
      <x:c r="D193" s="45"/>
    </x:row>
    <x:row r="194">
      <x:c r="B194" s="41"/>
      <x:c r="C194" s="155"/>
      <x:c r="D194" s="45"/>
    </x:row>
    <x:row r="195">
      <x:c r="B195" s="41"/>
      <x:c r="C195" s="155"/>
      <x:c r="D195" s="45"/>
    </x:row>
    <x:row r="196">
      <x:c r="B196" s="41"/>
      <x:c r="C196" s="155"/>
      <x:c r="D196" s="45"/>
    </x:row>
    <x:row r="197">
      <x:c r="B197" s="41"/>
      <x:c r="C197" s="155"/>
      <x:c r="D197" s="45"/>
    </x:row>
    <x:row r="198">
      <x:c r="B198" s="41"/>
      <x:c r="C198" s="155"/>
      <x:c r="D198" s="45"/>
    </x:row>
    <x:row r="199">
      <x:c r="B199" s="41"/>
      <x:c r="C199" s="155"/>
      <x:c r="D199" s="45"/>
    </x:row>
    <x:row r="200">
      <x:c r="B200" s="41"/>
      <x:c r="C200" s="155"/>
      <x:c r="D200" s="45"/>
    </x:row>
    <x:row r="201">
      <x:c r="B201" s="41"/>
      <x:c r="C201" s="155"/>
      <x:c r="D201" s="45"/>
    </x:row>
    <x:row r="202">
      <x:c r="B202" s="41"/>
      <x:c r="C202" s="155"/>
      <x:c r="D202" s="45"/>
    </x:row>
    <x:row r="203">
      <x:c r="B203" s="41"/>
      <x:c r="C203" s="155"/>
      <x:c r="D203" s="45"/>
    </x:row>
    <x:row r="204">
      <x:c r="B204" s="41"/>
      <x:c r="C204" s="155"/>
      <x:c r="D204" s="45"/>
    </x:row>
    <x:row r="205">
      <x:c r="B205" s="41"/>
      <x:c r="C205" s="155"/>
      <x:c r="D205" s="45"/>
    </x:row>
    <x:row r="206">
      <x:c r="B206" s="41"/>
      <x:c r="C206" s="155"/>
      <x:c r="D206" s="45"/>
    </x:row>
    <x:row r="207">
      <x:c r="B207" s="41"/>
      <x:c r="C207" s="155"/>
      <x:c r="D207" s="45"/>
    </x:row>
    <x:row r="208">
      <x:c r="B208" s="41"/>
      <x:c r="C208" s="155"/>
      <x:c r="D208" s="45"/>
    </x:row>
    <x:row r="209">
      <x:c r="B209" s="41"/>
      <x:c r="C209" s="155"/>
      <x:c r="D209" s="45"/>
    </x:row>
    <x:row r="210">
      <x:c r="B210" s="41"/>
      <x:c r="C210" s="155"/>
      <x:c r="D210" s="45"/>
    </x:row>
    <x:row r="211">
      <x:c r="B211" s="41"/>
      <x:c r="C211" s="155"/>
      <x:c r="D211" s="45"/>
    </x:row>
    <x:row r="212">
      <x:c r="B212" s="41"/>
      <x:c r="C212" s="155"/>
      <x:c r="D212" s="45"/>
    </x:row>
    <x:row r="213">
      <x:c r="B213" s="41"/>
      <x:c r="C213" s="155"/>
      <x:c r="D213" s="45"/>
    </x:row>
    <x:row r="214">
      <x:c r="B214" s="41"/>
      <x:c r="C214" s="155"/>
      <x:c r="D214" s="45"/>
    </x:row>
    <x:row r="215">
      <x:c r="B215" s="41"/>
      <x:c r="C215" s="155"/>
      <x:c r="D215" s="45"/>
    </x:row>
    <x:row r="216">
      <x:c r="B216" s="41"/>
      <x:c r="C216" s="155"/>
      <x:c r="D216" s="45"/>
    </x:row>
    <x:row r="217">
      <x:c r="B217" s="41"/>
      <x:c r="C217" s="155"/>
      <x:c r="D217" s="45"/>
    </x:row>
    <x:row r="218">
      <x:c r="B218" s="41"/>
      <x:c r="C218" s="155"/>
      <x:c r="D218" s="45"/>
    </x:row>
    <x:row r="219">
      <x:c r="B219" s="41"/>
      <x:c r="C219" s="155"/>
      <x:c r="D219" s="45"/>
    </x:row>
    <x:row r="220">
      <x:c r="B220" s="41"/>
      <x:c r="C220" s="155"/>
      <x:c r="D220" s="45"/>
    </x:row>
    <x:row r="221">
      <x:c r="B221" s="41"/>
      <x:c r="C221" s="155"/>
      <x:c r="D221" s="45"/>
    </x:row>
    <x:row r="222">
      <x:c r="B222" s="41"/>
      <x:c r="C222" s="155"/>
      <x:c r="D222" s="45"/>
    </x:row>
    <x:row r="223">
      <x:c r="B223" s="41"/>
      <x:c r="C223" s="155"/>
      <x:c r="D223" s="45"/>
    </x:row>
    <x:row r="224">
      <x:c r="B224" s="41"/>
      <x:c r="C224" s="155"/>
      <x:c r="D224" s="45"/>
    </x:row>
    <x:row r="225">
      <x:c r="B225" s="41"/>
      <x:c r="C225" s="155"/>
      <x:c r="D225" s="45"/>
    </x:row>
    <x:row r="226">
      <x:c r="B226" s="41"/>
      <x:c r="C226" s="155"/>
      <x:c r="D226" s="45"/>
    </x:row>
    <x:row r="227">
      <x:c r="B227" s="41"/>
      <x:c r="C227" s="155"/>
      <x:c r="D227" s="45"/>
    </x:row>
    <x:row r="228">
      <x:c r="B228" s="41"/>
      <x:c r="C228" s="155"/>
      <x:c r="D228" s="45"/>
    </x:row>
    <x:row r="229">
      <x:c r="B229" s="41"/>
      <x:c r="C229" s="155"/>
      <x:c r="D229" s="45"/>
    </x:row>
    <x:row r="230">
      <x:c r="B230" s="41"/>
      <x:c r="C230" s="155"/>
      <x:c r="D230" s="45"/>
    </x:row>
    <x:row r="231">
      <x:c r="B231" s="41"/>
      <x:c r="C231" s="155"/>
      <x:c r="D231" s="45"/>
    </x:row>
    <x:row r="232">
      <x:c r="B232" s="41"/>
      <x:c r="C232" s="155"/>
      <x:c r="D232" s="45"/>
    </x:row>
    <x:row r="233">
      <x:c r="B233" s="41"/>
      <x:c r="C233" s="155"/>
      <x:c r="D233" s="45"/>
    </x:row>
    <x:row r="234">
      <x:c r="B234" s="41"/>
      <x:c r="C234" s="155"/>
      <x:c r="D234" s="45"/>
    </x:row>
    <x:row r="235">
      <x:c r="B235" s="41"/>
      <x:c r="C235" s="155"/>
      <x:c r="D235" s="45"/>
    </x:row>
    <x:row r="236">
      <x:c r="B236" s="41"/>
      <x:c r="C236" s="155"/>
      <x:c r="D236" s="45"/>
    </x:row>
    <x:row r="237">
      <x:c r="B237" s="41"/>
      <x:c r="C237" s="155"/>
      <x:c r="D237" s="45"/>
    </x:row>
    <x:row r="238">
      <x:c r="B238" s="41"/>
      <x:c r="C238" s="155"/>
      <x:c r="D238" s="45"/>
    </x:row>
    <x:row r="239">
      <x:c r="B239" s="41"/>
      <x:c r="C239" s="155"/>
      <x:c r="D239" s="45"/>
    </x:row>
    <x:row r="240">
      <x:c r="B240" s="41"/>
      <x:c r="C240" s="155"/>
      <x:c r="D240" s="45"/>
    </x:row>
    <x:row r="241">
      <x:c r="B241" s="41"/>
      <x:c r="C241" s="155"/>
      <x:c r="D241" s="45"/>
    </x:row>
    <x:row r="242">
      <x:c r="B242" s="41"/>
      <x:c r="C242" s="155"/>
      <x:c r="D242" s="45"/>
    </x:row>
    <x:row r="243">
      <x:c r="B243" s="41"/>
      <x:c r="C243" s="155"/>
      <x:c r="D243" s="45"/>
    </x:row>
    <x:row r="244">
      <x:c r="B244" s="41"/>
      <x:c r="C244" s="155"/>
      <x:c r="D244" s="45"/>
    </x:row>
    <x:row r="245">
      <x:c r="B245" s="41"/>
      <x:c r="C245" s="155"/>
      <x:c r="D245" s="45"/>
    </x:row>
    <x:row r="246">
      <x:c r="B246" s="41"/>
      <x:c r="C246" s="155"/>
      <x:c r="D246" s="45"/>
    </x:row>
    <x:row r="247">
      <x:c r="B247" s="41"/>
      <x:c r="C247" s="155"/>
      <x:c r="D247" s="45"/>
    </x:row>
    <x:row r="248">
      <x:c r="B248" s="41"/>
      <x:c r="C248" s="155"/>
      <x:c r="D248" s="45"/>
    </x:row>
    <x:row r="249">
      <x:c r="B249" s="41"/>
      <x:c r="C249" s="155"/>
      <x:c r="D249" s="45"/>
    </x:row>
    <x:row r="250">
      <x:c r="B250" s="41"/>
      <x:c r="C250" s="155"/>
      <x:c r="D250" s="45"/>
    </x:row>
    <x:row r="251">
      <x:c r="B251" s="41"/>
      <x:c r="C251" s="155"/>
      <x:c r="D251" s="45"/>
    </x:row>
    <x:row r="252">
      <x:c r="B252" s="41"/>
      <x:c r="C252" s="155"/>
      <x:c r="D252" s="45"/>
    </x:row>
    <x:row r="253">
      <x:c r="B253" s="41"/>
      <x:c r="C253" s="155"/>
      <x:c r="D253" s="45"/>
    </x:row>
    <x:row r="254">
      <x:c r="B254" s="41"/>
      <x:c r="C254" s="155"/>
      <x:c r="D254" s="45"/>
    </x:row>
    <x:row r="255">
      <x:c r="B255" s="41"/>
      <x:c r="C255" s="155"/>
      <x:c r="D255" s="45"/>
    </x:row>
    <x:row r="256">
      <x:c r="B256" s="41"/>
      <x:c r="C256" s="155"/>
      <x:c r="D256" s="45"/>
    </x:row>
    <x:row r="257">
      <x:c r="B257" s="41"/>
      <x:c r="C257" s="155"/>
      <x:c r="D257" s="45"/>
    </x:row>
    <x:row r="258">
      <x:c r="B258" s="41"/>
      <x:c r="C258" s="155"/>
      <x:c r="D258" s="45"/>
    </x:row>
    <x:row r="259">
      <x:c r="B259" s="41"/>
      <x:c r="C259" s="155"/>
      <x:c r="D259" s="45"/>
    </x:row>
    <x:row r="260">
      <x:c r="B260" s="41"/>
      <x:c r="C260" s="155"/>
      <x:c r="D260" s="45"/>
    </x:row>
    <x:row r="261">
      <x:c r="B261" s="41"/>
      <x:c r="C261" s="155"/>
      <x:c r="D261" s="45"/>
    </x:row>
    <x:row r="262">
      <x:c r="B262" s="41"/>
      <x:c r="C262" s="155"/>
      <x:c r="D262" s="45"/>
    </x:row>
    <x:row r="263">
      <x:c r="B263" s="41"/>
      <x:c r="C263" s="155"/>
      <x:c r="D263" s="45"/>
    </x:row>
    <x:row r="264">
      <x:c r="B264" s="41"/>
      <x:c r="C264" s="155"/>
      <x:c r="D264" s="45"/>
    </x:row>
    <x:row r="265">
      <x:c r="B265" s="41"/>
      <x:c r="C265" s="155"/>
      <x:c r="D265" s="45"/>
    </x:row>
    <x:row r="266">
      <x:c r="B266" s="41"/>
      <x:c r="C266" s="155"/>
      <x:c r="D266" s="45"/>
    </x:row>
    <x:row r="267">
      <x:c r="B267" s="41"/>
      <x:c r="C267" s="155"/>
      <x:c r="D267" s="45"/>
    </x:row>
    <x:row r="268">
      <x:c r="B268" s="41"/>
      <x:c r="C268" s="155"/>
      <x:c r="D268" s="45"/>
    </x:row>
    <x:row r="269">
      <x:c r="B269" s="41"/>
      <x:c r="C269" s="155"/>
      <x:c r="D269" s="45"/>
    </x:row>
    <x:row r="270">
      <x:c r="B270" s="41"/>
      <x:c r="C270" s="155"/>
      <x:c r="D270" s="45"/>
    </x:row>
    <x:row r="271">
      <x:c r="B271" s="41"/>
      <x:c r="C271" s="155"/>
      <x:c r="D271" s="45"/>
    </x:row>
    <x:row r="272">
      <x:c r="B272" s="41"/>
      <x:c r="C272" s="155"/>
      <x:c r="D272" s="45"/>
    </x:row>
    <x:row r="273">
      <x:c r="B273" s="41"/>
      <x:c r="C273" s="155"/>
      <x:c r="D273" s="45"/>
    </x:row>
    <x:row r="274">
      <x:c r="B274" s="41"/>
      <x:c r="C274" s="155"/>
      <x:c r="D274" s="45"/>
    </x:row>
    <x:row r="275">
      <x:c r="B275" s="41"/>
      <x:c r="C275" s="155"/>
      <x:c r="D275" s="45"/>
    </x:row>
    <x:row r="276">
      <x:c r="B276" s="41"/>
      <x:c r="C276" s="155"/>
      <x:c r="D276" s="45"/>
    </x:row>
    <x:row r="277">
      <x:c r="B277" s="41"/>
      <x:c r="C277" s="155"/>
      <x:c r="D277" s="45"/>
    </x:row>
    <x:row r="278">
      <x:c r="B278" s="41"/>
      <x:c r="C278" s="155"/>
      <x:c r="D278" s="45"/>
    </x:row>
    <x:row r="279">
      <x:c r="B279" s="41"/>
      <x:c r="C279" s="155"/>
      <x:c r="D279" s="45"/>
    </x:row>
    <x:row r="280">
      <x:c r="B280" s="41"/>
      <x:c r="C280" s="155"/>
      <x:c r="D280" s="45"/>
    </x:row>
    <x:row r="281">
      <x:c r="B281" s="41"/>
      <x:c r="C281" s="155"/>
      <x:c r="D281" s="45"/>
    </x:row>
    <x:row r="282">
      <x:c r="B282" s="41"/>
      <x:c r="C282" s="155"/>
      <x:c r="D282" s="45"/>
    </x:row>
    <x:row r="283">
      <x:c r="B283" s="41"/>
      <x:c r="C283" s="155"/>
      <x:c r="D283" s="45"/>
    </x:row>
    <x:row r="284">
      <x:c r="B284" s="41"/>
      <x:c r="C284" s="155"/>
      <x:c r="D284" s="45"/>
    </x:row>
    <x:row r="285">
      <x:c r="B285" s="41"/>
      <x:c r="C285" s="155"/>
      <x:c r="D285" s="45"/>
    </x:row>
    <x:row r="286">
      <x:c r="B286" s="41"/>
      <x:c r="C286" s="155"/>
      <x:c r="D286" s="45"/>
    </x:row>
    <x:row r="287">
      <x:c r="B287" s="41"/>
      <x:c r="C287" s="155"/>
      <x:c r="D287" s="45"/>
    </x:row>
    <x:row r="288">
      <x:c r="B288" s="41"/>
      <x:c r="C288" s="155"/>
      <x:c r="D288" s="45"/>
    </x:row>
    <x:row r="289">
      <x:c r="B289" s="41"/>
      <x:c r="C289" s="155"/>
      <x:c r="D289" s="45"/>
    </x:row>
    <x:row r="290">
      <x:c r="B290" s="41"/>
      <x:c r="C290" s="155"/>
      <x:c r="D290" s="45"/>
    </x:row>
    <x:row r="291">
      <x:c r="B291" s="41"/>
      <x:c r="C291" s="155"/>
      <x:c r="D291" s="45"/>
    </x:row>
    <x:row r="292">
      <x:c r="B292" s="41"/>
      <x:c r="C292" s="155"/>
      <x:c r="D292" s="45"/>
    </x:row>
    <x:row r="293">
      <x:c r="B293" s="41"/>
      <x:c r="C293" s="155"/>
      <x:c r="D293" s="45"/>
    </x:row>
    <x:row r="294">
      <x:c r="B294" s="41"/>
      <x:c r="C294" s="155"/>
      <x:c r="D294" s="45"/>
    </x:row>
    <x:row r="295">
      <x:c r="B295" s="41"/>
      <x:c r="C295" s="155"/>
      <x:c r="D295" s="45"/>
    </x:row>
    <x:row r="296">
      <x:c r="B296" s="41"/>
      <x:c r="C296" s="155"/>
      <x:c r="D296" s="45"/>
    </x:row>
    <x:row r="297">
      <x:c r="B297" s="41"/>
      <x:c r="C297" s="155"/>
      <x:c r="D297" s="45"/>
    </x:row>
    <x:row r="298">
      <x:c r="B298" s="41"/>
      <x:c r="C298" s="155"/>
      <x:c r="D298" s="45"/>
    </x:row>
    <x:row r="299">
      <x:c r="B299" s="41"/>
      <x:c r="C299" s="155"/>
      <x:c r="D299" s="45"/>
    </x:row>
    <x:row r="300">
      <x:c r="B300" s="41"/>
      <x:c r="C300" s="155"/>
      <x:c r="D300" s="45"/>
    </x:row>
    <x:row r="301">
      <x:c r="B301" s="41"/>
      <x:c r="C301" s="155"/>
      <x:c r="D301" s="45"/>
    </x:row>
    <x:row r="302">
      <x:c r="B302" s="41"/>
      <x:c r="C302" s="155"/>
      <x:c r="D302" s="45"/>
    </x:row>
    <x:row r="303">
      <x:c r="B303" s="41"/>
      <x:c r="C303" s="155"/>
      <x:c r="D303" s="45"/>
    </x:row>
    <x:row r="304">
      <x:c r="B304" s="41"/>
      <x:c r="C304" s="155"/>
      <x:c r="D304" s="45"/>
    </x:row>
    <x:row r="305">
      <x:c r="B305" s="41"/>
      <x:c r="C305" s="155"/>
      <x:c r="D305" s="45"/>
    </x:row>
    <x:row r="306">
      <x:c r="B306" s="41"/>
      <x:c r="C306" s="155"/>
      <x:c r="D306" s="45"/>
    </x:row>
    <x:row r="307">
      <x:c r="B307" s="41"/>
      <x:c r="C307" s="155"/>
      <x:c r="D307" s="45"/>
    </x:row>
    <x:row r="308">
      <x:c r="B308" s="41"/>
      <x:c r="C308" s="155"/>
      <x:c r="D308" s="45"/>
    </x:row>
    <x:row r="309">
      <x:c r="B309" s="41"/>
      <x:c r="C309" s="155"/>
      <x:c r="D309" s="45"/>
    </x:row>
    <x:row r="310">
      <x:c r="B310" s="41"/>
      <x:c r="C310" s="155"/>
      <x:c r="D310" s="45"/>
    </x:row>
    <x:row r="311">
      <x:c r="B311" s="41"/>
      <x:c r="C311" s="155"/>
      <x:c r="D311" s="45"/>
    </x:row>
    <x:row r="312">
      <x:c r="B312" s="41"/>
      <x:c r="C312" s="155"/>
      <x:c r="D312" s="45"/>
    </x:row>
    <x:row r="313">
      <x:c r="B313" s="41"/>
      <x:c r="C313" s="155"/>
      <x:c r="D313" s="45"/>
    </x:row>
    <x:row r="314">
      <x:c r="B314" s="41"/>
      <x:c r="C314" s="155"/>
      <x:c r="D314" s="45"/>
    </x:row>
    <x:row r="315">
      <x:c r="B315" s="41"/>
      <x:c r="C315" s="155"/>
      <x:c r="D315" s="45"/>
    </x:row>
    <x:row r="316">
      <x:c r="B316" s="41"/>
      <x:c r="C316" s="155"/>
      <x:c r="D316" s="45"/>
    </x:row>
    <x:row r="317">
      <x:c r="B317" s="41"/>
      <x:c r="C317" s="155"/>
      <x:c r="D317" s="45"/>
    </x:row>
    <x:row r="318">
      <x:c r="B318" s="41"/>
      <x:c r="C318" s="155"/>
      <x:c r="D318" s="45"/>
    </x:row>
  </x:sheetData>
  <x:mergeCells>
    <x:mergeCell ref="A1:M1"/>
    <x:mergeCell ref="A2:M2"/>
    <x:mergeCell ref="A4:B4"/>
    <x:mergeCell ref="A5:B6"/>
    <x:mergeCell ref="D4:E4"/>
    <x:mergeCell ref="D5:E6"/>
    <x:mergeCell ref="G4:H4"/>
    <x:mergeCell ref="G5:H6"/>
    <x:mergeCell ref="J4:K4"/>
    <x:mergeCell ref="J5:K6"/>
    <x:mergeCell ref="A8:M8"/>
    <x:mergeCell ref="A17:M17"/>
  </x:mergeCells>
  <x:conditionalFormatting sqref="M19:M318">
    <x:cfRule type="expression" dxfId="20" priority="1">
      <x:formula>M19="Uygun"</x:formula>
    </x:cfRule>
    <x:cfRule type="expression" dxfId="21" priority="2">
      <x:formula>AND(M19&lt;&gt;"",M19&lt;&gt;"Uygun")</x:formula>
    </x:cfRule>
  </x:conditionalFormatting>
  <x:dataValidations count="5">
    <x:dataValidation operator="between" sqref="D19:D318">
      <x:formula1>1</x:formula1>
      <x:formula2>9999</x:formula2>
    </x:dataValidation>
    <x:dataValidation type="list" sqref="A19:A318">
      <x:formula1>"Pazartesi,Salı,Çarşamba,Perşembe,Cuma,Cumartesi,Pazar"</x:formula1>
    </x:dataValidation>
    <x:dataValidation type="list" sqref="H19:H318">
      <x:formula1>"40,50,60,75,90"</x:formula1>
    </x:dataValidation>
    <x:dataValidation type="list" sqref="I19:I318">
      <x:formula1>"Planlandı,Yapıldı,İptal,Ertelendi"</x:formula1>
    </x:dataValidation>
    <x:dataValidation type="list" sqref="K19:K318">
      <x:formula1>"Mevcut Kayıt,Excel Girişi,Google Form,Google Sheets,CSV İçe Aktarım"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7c4b644e46499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7" hidden="0" customWidth="1"/>
    <x:col min="5" max="5" width="17" hidden="0" customWidth="1"/>
    <x:col min="6" max="6" width="22" hidden="0" customWidth="1"/>
    <x:col min="7" max="7" width="16" hidden="0" customWidth="1"/>
    <x:col min="8" max="8" width="24" hidden="0" customWidth="1"/>
    <x:col min="9" max="9" width="13" hidden="0" customWidth="1"/>
    <x:col min="10" max="10" width="14" hidden="0" customWidth="1"/>
    <x:col min="11" max="11" width="16" hidden="0" customWidth="1"/>
    <x:col min="12" max="12" width="15" hidden="0" customWidth="1"/>
    <x:col min="13" max="13" width="15" hidden="0" customWidth="1"/>
    <x:col min="14" max="14" width="11" hidden="0" customWidth="1"/>
    <x:col min="15" max="15" width="18" hidden="0" customWidth="1"/>
  </x:cols>
  <x:sheetData>
    <x:row r="1" ht="26" customHeight="1">
      <x:c r="A1" s="5" t="str">
        <x:v>ÖĞRENCİLER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13" t="str">
        <x:v>Öğrenci kodu düz sayıdır: 1, 2, 3… Son boş satıra yazınca tablo genişler.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>
      <x:c r="A4" s="22" t="str">
        <x:v>Öğrenci Kodu</x:v>
      </x:c>
      <x:c r="B4" s="22" t="str">
        <x:v>Ad Soyad</x:v>
      </x:c>
      <x:c r="C4" s="22" t="str">
        <x:v>Sınıf</x:v>
      </x:c>
      <x:c r="D4" s="22" t="str">
        <x:v>Ders</x:v>
      </x:c>
      <x:c r="E4" s="22" t="str">
        <x:v>Veli Telefonu</x:v>
      </x:c>
      <x:c r="F4" s="22" t="str">
        <x:v>Ders Günü / Saati</x:v>
      </x:c>
      <x:c r="G4" s="22" t="str">
        <x:v>Başlangıç Tarihi</x:v>
      </x:c>
      <x:c r="H4" s="22" t="str">
        <x:v>Hedef</x:v>
      </x:c>
      <x:c r="I4" s="22" t="str">
        <x:v>Seviye</x:v>
      </x:c>
      <x:c r="J4" s="22" t="str">
        <x:v>Aktiflik</x:v>
      </x:c>
      <x:c r="K4" s="22" t="str">
        <x:v>Ödev Başarısı %</x:v>
      </x:c>
      <x:c r="L4" s="22" t="str">
        <x:v>Sınav Net Ort.</x:v>
      </x:c>
      <x:c r="M4" s="22" t="str">
        <x:v>Sistem Statüsü</x:v>
      </x:c>
      <x:c r="N4" s="22" t="str">
        <x:v>Risk Sıra</x:v>
      </x:c>
      <x:c r="O4" s="22" t="str">
        <x:v>Kayıt Kontrolü</x:v>
      </x:c>
    </x:row>
    <x:row r="5">
      <x:c r="A5" s="44" t="n">
        <x:v>1</x:v>
      </x:c>
      <x:c r="B5" s="30" t="str">
        <x:v>Ahmet Yılmaz</x:v>
      </x:c>
      <x:c r="C5" s="30" t="str">
        <x:v>8. Sınıf</x:v>
      </x:c>
      <x:c r="D5" s="30" t="str">
        <x:v>Matematik</x:v>
      </x:c>
      <x:c r="E5" s="48" t="str">
        <x:v>0532 111 2233</x:v>
      </x:c>
      <x:c r="F5" s="30" t="str">
        <x:v>Salı - Perşembe</x:v>
      </x:c>
      <x:c r="G5" s="40" t="n">
        <x:v>46280</x:v>
      </x:c>
      <x:c r="H5" s="30" t="str">
        <x:v>LGS / Okul Sınavı</x:v>
      </x:c>
      <x:c r="I5" s="30" t="str">
        <x:v>Orta</x:v>
      </x:c>
      <x:c r="J5" s="30" t="str">
        <x:v>Aktif</x:v>
      </x:c>
      <x:c r="K5" s="52" t="n">
        <x:f>IF(A5="","",IF(COUNTIF('04_Ödev_Konu'!$B$6:$B$504,A5)=0,"",AVERAGEIF('04_Ödev_Konu'!$B$6:$B$504,A5,'04_Ödev_Konu'!$H$6:$H$504)))</x:f>
        <x:v>0.725</x:v>
      </x:c>
      <x:c r="L5" s="56" t="n">
        <x:f>IF(A5="","",IF(COUNTIF('05_Sınavlar'!$B$5:$B$304,A5)=0,"",AVERAGEIF('05_Sınavlar'!$B$5:$B$304,A5,'05_Sınavlar'!$E$5:$E$304)))</x:f>
        <x:v>14.5</x:v>
      </x:c>
      <x:c r="M5" s="36" t="str">
        <x:f>IF(A5="","",IF(J5="Donduruldu","Gri",IF(AND(K5="",L5=""),"Veri Yok",IF(OR(AND(K5&lt;&gt;"",K5&lt;60%),AND(L5&lt;&gt;"",L5&lt;12)),"Kırmızı",IF(OR(AND(K5&lt;&gt;"",K5&lt;75%),AND(L5&lt;&gt;"",L5&lt;15)),"Turuncu",IF(AND(L5&lt;&gt;"",L5&gt;=17),"Yeşil","Sarı"))))))</x:f>
        <x:v>Turuncu</x:v>
      </x:c>
      <x:c r="N5" s="36" t="n">
        <x:f>IF(OR(M5="Kırmızı",M5="Turuncu"),COUNTIF($M$5:M5,"Kırmızı")+COUNTIF($M$5:M5,"Turuncu"),"")</x:f>
        <x:v>1</x:v>
      </x:c>
      <x:c r="O5" s="36" t="str">
        <x:f>IF(A5="","",IF(OR(B5="",C5="",D5="",J5=""),"Eksik Alan",IF(COUNTIF($A$5:A5,A5)&gt;1,"Mükerrer Kod","Uygun")))</x:f>
        <x:v>Uygun</x:v>
      </x:c>
    </x:row>
    <x:row r="6">
      <x:c r="A6" s="44" t="n">
        <x:v>2</x:v>
      </x:c>
      <x:c r="B6" s="30" t="str">
        <x:v>Zeynep Kaya</x:v>
      </x:c>
      <x:c r="C6" s="30" t="str">
        <x:v>8. Sınıf</x:v>
      </x:c>
      <x:c r="D6" s="30" t="str">
        <x:v>Matematik</x:v>
      </x:c>
      <x:c r="E6" s="48" t="str">
        <x:v>0533 222 3344</x:v>
      </x:c>
      <x:c r="F6" s="30" t="str">
        <x:v>Pazartesi - Çarşamba</x:v>
      </x:c>
      <x:c r="G6" s="40" t="n">
        <x:v>46275</x:v>
      </x:c>
      <x:c r="H6" s="30" t="str">
        <x:v>LGS 2027 Derece</x:v>
      </x:c>
      <x:c r="I6" s="30" t="str">
        <x:v>İleri</x:v>
      </x:c>
      <x:c r="J6" s="30" t="str">
        <x:v>Aktif</x:v>
      </x:c>
      <x:c r="K6" s="52" t="n">
        <x:f>IF(A6="","",IF(COUNTIF('04_Ödev_Konu'!$B$6:$B$504,A6)=0,"",AVERAGEIF('04_Ödev_Konu'!$B$6:$B$504,A6,'04_Ödev_Konu'!$H$6:$H$504)))</x:f>
        <x:v>0.95</x:v>
      </x:c>
      <x:c r="L6" s="56" t="n">
        <x:f>IF(A6="","",IF(COUNTIF('05_Sınavlar'!$B$5:$B$304,A6)=0,"",AVERAGEIF('05_Sınavlar'!$B$5:$B$304,A6,'05_Sınavlar'!$E$5:$E$304)))</x:f>
        <x:v>18.5</x:v>
      </x:c>
      <x:c r="M6" s="36" t="str">
        <x:f>IF(A6="","",IF(J6="Donduruldu","Gri",IF(AND(K6="",L6=""),"Veri Yok",IF(OR(AND(K6&lt;&gt;"",K6&lt;60%),AND(L6&lt;&gt;"",L6&lt;12)),"Kırmızı",IF(OR(AND(K6&lt;&gt;"",K6&lt;75%),AND(L6&lt;&gt;"",L6&lt;15)),"Turuncu",IF(AND(L6&lt;&gt;"",L6&gt;=17),"Yeşil","Sarı"))))))</x:f>
        <x:v>Yeşil</x:v>
      </x:c>
      <x:c r="N6" s="36" t="str">
        <x:f>IF(OR(M6="Kırmızı",M6="Turuncu"),COUNTIF($M$5:M6,"Kırmızı")+COUNTIF($M$5:M6,"Turuncu"),"")</x:f>
      </x:c>
      <x:c r="O6" s="36" t="str">
        <x:f>IF(A6="","",IF(OR(B6="",C6="",D6="",J6=""),"Eksik Alan",IF(COUNTIF($A$5:A6,A6)&gt;1,"Mükerrer Kod","Uygun")))</x:f>
        <x:v>Uygun</x:v>
      </x:c>
    </x:row>
    <x:row r="7">
      <x:c r="A7" s="44" t="n">
        <x:v>3</x:v>
      </x:c>
      <x:c r="B7" s="30" t="str">
        <x:v>Mehmet Demir</x:v>
      </x:c>
      <x:c r="C7" s="30" t="str">
        <x:v>7. Sınıf</x:v>
      </x:c>
      <x:c r="D7" s="30" t="str">
        <x:v>Matematik</x:v>
      </x:c>
      <x:c r="E7" s="48" t="str">
        <x:v>0535 333 4455</x:v>
      </x:c>
      <x:c r="F7" s="30" t="str">
        <x:v>Cuma - Cumartesi</x:v>
      </x:c>
      <x:c r="G7" s="40" t="n">
        <x:v>46296</x:v>
      </x:c>
      <x:c r="H7" s="30" t="str">
        <x:v>Okul Yazılısı 100</x:v>
      </x:c>
      <x:c r="I7" s="30" t="str">
        <x:v>Temel</x:v>
      </x:c>
      <x:c r="J7" s="30" t="str">
        <x:v>Aktif</x:v>
      </x:c>
      <x:c r="K7" s="52" t="n">
        <x:f>IF(A7="","",IF(COUNTIF('04_Ödev_Konu'!$B$6:$B$504,A7)=0,"",AVERAGEIF('04_Ödev_Konu'!$B$6:$B$504,A7,'04_Ödev_Konu'!$H$6:$H$504)))</x:f>
        <x:v>0.25</x:v>
      </x:c>
      <x:c r="L7" s="56" t="n">
        <x:f>IF(A7="","",IF(COUNTIF('05_Sınavlar'!$B$5:$B$304,A7)=0,"",AVERAGEIF('05_Sınavlar'!$B$5:$B$304,A7,'05_Sınavlar'!$E$5:$E$304)))</x:f>
        <x:v>9</x:v>
      </x:c>
      <x:c r="M7" s="36" t="str">
        <x:f>IF(A7="","",IF(J7="Donduruldu","Gri",IF(AND(K7="",L7=""),"Veri Yok",IF(OR(AND(K7&lt;&gt;"",K7&lt;60%),AND(L7&lt;&gt;"",L7&lt;12)),"Kırmızı",IF(OR(AND(K7&lt;&gt;"",K7&lt;75%),AND(L7&lt;&gt;"",L7&lt;15)),"Turuncu",IF(AND(L7&lt;&gt;"",L7&gt;=17),"Yeşil","Sarı"))))))</x:f>
        <x:v>Kırmızı</x:v>
      </x:c>
      <x:c r="N7" s="36" t="n">
        <x:f>IF(OR(M7="Kırmızı",M7="Turuncu"),COUNTIF($M$5:M7,"Kırmızı")+COUNTIF($M$5:M7,"Turuncu"),"")</x:f>
        <x:v>2</x:v>
      </x:c>
      <x:c r="O7" s="36" t="str">
        <x:f>IF(A7="","",IF(OR(B7="",C7="",D7="",J7=""),"Eksik Alan",IF(COUNTIF($A$5:A7,A7)&gt;1,"Mükerrer Kod","Uygun")))</x:f>
        <x:v>Uygun</x:v>
      </x:c>
    </x:row>
    <x:row r="8">
      <x:c r="A8" s="44" t="n">
        <x:v>4</x:v>
      </x:c>
      <x:c r="B8" s="30" t="str">
        <x:v>Elif Şahin</x:v>
      </x:c>
      <x:c r="C8" s="30" t="str">
        <x:v>8. Sınıf</x:v>
      </x:c>
      <x:c r="D8" s="30" t="str">
        <x:v>Matematik</x:v>
      </x:c>
      <x:c r="E8" s="48" t="str">
        <x:v>0536 444 5566</x:v>
      </x:c>
      <x:c r="F8" s="30" t="str">
        <x:v>Perşembe - Pazar</x:v>
      </x:c>
      <x:c r="G8" s="40" t="n">
        <x:v>46285</x:v>
      </x:c>
      <x:c r="H8" s="30" t="str">
        <x:v>LGS Target 450+</x:v>
      </x:c>
      <x:c r="I8" s="30" t="str">
        <x:v>Orta</x:v>
      </x:c>
      <x:c r="J8" s="30" t="str">
        <x:v>Aktif</x:v>
      </x:c>
      <x:c r="K8" s="52" t="str">
        <x:f>IF(A8="","",IF(COUNTIF('04_Ödev_Konu'!$B$6:$B$504,A8)=0,"",AVERAGEIF('04_Ödev_Konu'!$B$6:$B$504,A8,'04_Ödev_Konu'!$H$6:$H$504)))</x:f>
      </x:c>
      <x:c r="L8" s="56" t="n">
        <x:f>IF(A8="","",IF(COUNTIF('05_Sınavlar'!$B$5:$B$304,A8)=0,"",AVERAGEIF('05_Sınavlar'!$B$5:$B$304,A8,'05_Sınavlar'!$E$5:$E$304)))</x:f>
        <x:v>13</x:v>
      </x:c>
      <x:c r="M8" s="36" t="str">
        <x:f>IF(A8="","",IF(J8="Donduruldu","Gri",IF(AND(K8="",L8=""),"Veri Yok",IF(OR(AND(K8&lt;&gt;"",K8&lt;60%),AND(L8&lt;&gt;"",L8&lt;12)),"Kırmızı",IF(OR(AND(K8&lt;&gt;"",K8&lt;75%),AND(L8&lt;&gt;"",L8&lt;15)),"Turuncu",IF(AND(L8&lt;&gt;"",L8&gt;=17),"Yeşil","Sarı"))))))</x:f>
        <x:v>Turuncu</x:v>
      </x:c>
      <x:c r="N8" s="36" t="n">
        <x:f>IF(OR(M8="Kırmızı",M8="Turuncu"),COUNTIF($M$5:M8,"Kırmızı")+COUNTIF($M$5:M8,"Turuncu"),"")</x:f>
        <x:v>3</x:v>
      </x:c>
      <x:c r="O8" s="36" t="str">
        <x:f>IF(A8="","",IF(OR(B8="",C8="",D8="",J8=""),"Eksik Alan",IF(COUNTIF($A$5:A8,A8)&gt;1,"Mükerrer Kod","Uygun")))</x:f>
        <x:v>Uygun</x:v>
      </x:c>
    </x:row>
    <x:row r="9">
      <x:c r="A9" s="44" t="n">
        <x:v>5</x:v>
      </x:c>
      <x:c r="B9" s="30" t="str">
        <x:v>Can Öztürk</x:v>
      </x:c>
      <x:c r="C9" s="30" t="str">
        <x:v>8. Sınıf</x:v>
      </x:c>
      <x:c r="D9" s="30" t="str">
        <x:v>Matematik</x:v>
      </x:c>
      <x:c r="E9" s="48" t="str">
        <x:v>0537 555 6677</x:v>
      </x:c>
      <x:c r="F9" s="30" t="str">
        <x:v>Çarşamba - Cumartesi</x:v>
      </x:c>
      <x:c r="G9" s="40" t="n">
        <x:v>46280</x:v>
      </x:c>
      <x:c r="H9" s="30" t="str">
        <x:v>LGS / Fen Lisesi</x:v>
      </x:c>
      <x:c r="I9" s="30" t="str">
        <x:v>İleri</x:v>
      </x:c>
      <x:c r="J9" s="30" t="str">
        <x:v>Aktif</x:v>
      </x:c>
      <x:c r="K9" s="52" t="str">
        <x:f>IF(A9="","",IF(COUNTIF('04_Ödev_Konu'!$B$6:$B$504,A9)=0,"",AVERAGEIF('04_Ödev_Konu'!$B$6:$B$504,A9,'04_Ödev_Konu'!$H$6:$H$504)))</x:f>
      </x:c>
      <x:c r="L9" s="56" t="n">
        <x:f>IF(A9="","",IF(COUNTIF('05_Sınavlar'!$B$5:$B$304,A9)=0,"",AVERAGEIF('05_Sınavlar'!$B$5:$B$304,A9,'05_Sınavlar'!$E$5:$E$304)))</x:f>
        <x:v>19</x:v>
      </x:c>
      <x:c r="M9" s="36" t="str">
        <x:f>IF(A9="","",IF(J9="Donduruldu","Gri",IF(AND(K9="",L9=""),"Veri Yok",IF(OR(AND(K9&lt;&gt;"",K9&lt;60%),AND(L9&lt;&gt;"",L9&lt;12)),"Kırmızı",IF(OR(AND(K9&lt;&gt;"",K9&lt;75%),AND(L9&lt;&gt;"",L9&lt;15)),"Turuncu",IF(AND(L9&lt;&gt;"",L9&gt;=17),"Yeşil","Sarı"))))))</x:f>
        <x:v>Yeşil</x:v>
      </x:c>
      <x:c r="N9" s="36" t="str">
        <x:f>IF(OR(M9="Kırmızı",M9="Turuncu"),COUNTIF($M$5:M9,"Kırmızı")+COUNTIF($M$5:M9,"Turuncu"),"")</x:f>
      </x:c>
      <x:c r="O9" s="36" t="str">
        <x:f>IF(A9="","",IF(OR(B9="",C9="",D9="",J9=""),"Eksik Alan",IF(COUNTIF($A$5:A9,A9)&gt;1,"Mükerrer Kod","Uygun")))</x:f>
        <x:v>Uygun</x:v>
      </x:c>
    </x:row>
    <x:row r="10">
      <x:c r="A10" s="44" t="n">
        <x:v>6</x:v>
      </x:c>
      <x:c r="B10" s="30" t="str">
        <x:v>Ayşe Çelik</x:v>
      </x:c>
      <x:c r="C10" s="30" t="str">
        <x:v>6. Sınıf</x:v>
      </x:c>
      <x:c r="D10" s="30" t="str">
        <x:v>Matematik</x:v>
      </x:c>
      <x:c r="E10" s="48" t="str">
        <x:v>0538 666 7788</x:v>
      </x:c>
      <x:c r="F10" s="30" t="str">
        <x:v>Pazartesi</x:v>
      </x:c>
      <x:c r="G10" s="40" t="n">
        <x:v>46300</x:v>
      </x:c>
      <x:c r="H10" s="30" t="str">
        <x:v>Temel Pekiştirme</x:v>
      </x:c>
      <x:c r="I10" s="30" t="str">
        <x:v>Temel</x:v>
      </x:c>
      <x:c r="J10" s="30" t="str">
        <x:v>Donduruldu</x:v>
      </x:c>
      <x:c r="K10" s="52" t="str">
        <x:f>IF(A10="","",IF(COUNTIF('04_Ödev_Konu'!$B$6:$B$504,A10)=0,"",AVERAGEIF('04_Ödev_Konu'!$B$6:$B$504,A10,'04_Ödev_Konu'!$H$6:$H$504)))</x:f>
      </x:c>
      <x:c r="L10" s="56" t="str">
        <x:f>IF(A10="","",IF(COUNTIF('05_Sınavlar'!$B$5:$B$304,A10)=0,"",AVERAGEIF('05_Sınavlar'!$B$5:$B$304,A10,'05_Sınavlar'!$E$5:$E$304)))</x:f>
      </x:c>
      <x:c r="M10" s="36" t="str">
        <x:f>IF(A10="","",IF(J10="Donduruldu","Gri",IF(AND(K10="",L10=""),"Veri Yok",IF(OR(AND(K10&lt;&gt;"",K10&lt;60%),AND(L10&lt;&gt;"",L10&lt;12)),"Kırmızı",IF(OR(AND(K10&lt;&gt;"",K10&lt;75%),AND(L10&lt;&gt;"",L10&lt;15)),"Turuncu",IF(AND(L10&lt;&gt;"",L10&gt;=17),"Yeşil","Sarı"))))))</x:f>
        <x:v>Gri</x:v>
      </x:c>
      <x:c r="N10" s="36" t="str">
        <x:f>IF(OR(M10="Kırmızı",M10="Turuncu"),COUNTIF($M$5:M10,"Kırmızı")+COUNTIF($M$5:M10,"Turuncu"),"")</x:f>
      </x:c>
      <x:c r="O10" s="36" t="str">
        <x:f>IF(A10="","",IF(OR(B10="",C10="",D10="",J10=""),"Eksik Alan",IF(COUNTIF($A$5:A10,A10)&gt;1,"Mükerrer Kod","Uygun")))</x:f>
        <x:v>Uygun</x:v>
      </x:c>
    </x:row>
    <x:row r="11">
      <x:c r="A11" s="44" t="n">
        <x:v>7</x:v>
      </x:c>
      <x:c r="B11" s="30" t="str">
        <x:v>Burak Yıldız</x:v>
      </x:c>
      <x:c r="C11" s="30" t="str">
        <x:v>8. Sınıf</x:v>
      </x:c>
      <x:c r="D11" s="30" t="str">
        <x:v>Matematik</x:v>
      </x:c>
      <x:c r="E11" s="48" t="str">
        <x:v>0539 777 8899</x:v>
      </x:c>
      <x:c r="F11" s="30" t="str">
        <x:v>Salı - Cuma</x:v>
      </x:c>
      <x:c r="G11" s="40" t="n">
        <x:v>46277</x:v>
      </x:c>
      <x:c r="H11" s="30" t="str">
        <x:v>LGS 2027</x:v>
      </x:c>
      <x:c r="I11" s="30" t="str">
        <x:v>Orta</x:v>
      </x:c>
      <x:c r="J11" s="30" t="str">
        <x:v>Aktif</x:v>
      </x:c>
      <x:c r="K11" s="52" t="str">
        <x:f>IF(A11="","",IF(COUNTIF('04_Ödev_Konu'!$B$6:$B$504,A11)=0,"",AVERAGEIF('04_Ödev_Konu'!$B$6:$B$504,A11,'04_Ödev_Konu'!$H$6:$H$504)))</x:f>
      </x:c>
      <x:c r="L11" s="56" t="str">
        <x:f>IF(A11="","",IF(COUNTIF('05_Sınavlar'!$B$5:$B$304,A11)=0,"",AVERAGEIF('05_Sınavlar'!$B$5:$B$304,A11,'05_Sınavlar'!$E$5:$E$304)))</x:f>
      </x:c>
      <x:c r="M11" s="36" t="str">
        <x:f>IF(A11="","",IF(J11="Donduruldu","Gri",IF(AND(K11="",L11=""),"Veri Yok",IF(OR(AND(K11&lt;&gt;"",K11&lt;60%),AND(L11&lt;&gt;"",L11&lt;12)),"Kırmızı",IF(OR(AND(K11&lt;&gt;"",K11&lt;75%),AND(L11&lt;&gt;"",L11&lt;15)),"Turuncu",IF(AND(L11&lt;&gt;"",L11&gt;=17),"Yeşil","Sarı"))))))</x:f>
        <x:v>Veri Yok</x:v>
      </x:c>
      <x:c r="N11" s="36" t="str">
        <x:f>IF(OR(M11="Kırmızı",M11="Turuncu"),COUNTIF($M$5:M11,"Kırmızı")+COUNTIF($M$5:M11,"Turuncu"),"")</x:f>
      </x:c>
      <x:c r="O11" s="36" t="str">
        <x:f>IF(A11="","",IF(OR(B11="",C11="",D11="",J11=""),"Eksik Alan",IF(COUNTIF($A$5:A11,A11)&gt;1,"Mükerrer Kod","Uygun")))</x:f>
        <x:v>Uygun</x:v>
      </x:c>
    </x:row>
    <x:row r="12">
      <x:c r="A12" s="44"/>
      <x:c r="B12" s="30"/>
      <x:c r="C12" s="30"/>
      <x:c r="D12" s="30"/>
      <x:c r="E12" s="48"/>
      <x:c r="F12" s="30"/>
      <x:c r="G12" s="40"/>
      <x:c r="H12" s="30"/>
      <x:c r="I12" s="30"/>
      <x:c r="J12" s="30"/>
      <x:c r="K12" s="52" t="str">
        <x:f>IF(A12="","",IF(COUNTIF('04_Ödev_Konu'!$B$6:$B$504,A12)=0,"",AVERAGEIF('04_Ödev_Konu'!$B$6:$B$504,A12,'04_Ödev_Konu'!$H$6:$H$504)))</x:f>
      </x:c>
      <x:c r="L12" s="56" t="str">
        <x:f>IF(A12="","",IF(COUNTIF('05_Sınavlar'!$B$5:$B$304,A12)=0,"",AVERAGEIF('05_Sınavlar'!$B$5:$B$304,A12,'05_Sınavlar'!$E$5:$E$304)))</x:f>
      </x:c>
      <x:c r="M12" s="36" t="str">
        <x:f>IF(A12="","",IF(J12="Donduruldu","Gri",IF(AND(K12="",L12=""),"Veri Yok",IF(OR(AND(K12&lt;&gt;"",K12&lt;60%),AND(L12&lt;&gt;"",L12&lt;12)),"Kırmızı",IF(OR(AND(K12&lt;&gt;"",K12&lt;75%),AND(L12&lt;&gt;"",L12&lt;15)),"Turuncu",IF(AND(L12&lt;&gt;"",L12&gt;=17),"Yeşil","Sarı"))))))</x:f>
      </x:c>
      <x:c r="N12" s="36" t="str">
        <x:f>IF(OR(M12="Kırmızı",M12="Turuncu"),COUNTIF($M$5:M12,"Kırmızı")+COUNTIF($M$5:M12,"Turuncu"),"")</x:f>
      </x:c>
      <x:c r="O12" s="36" t="str">
        <x:f>IF(A12="","",IF(OR(B12="",C12="",D12="",J12=""),"Eksik Alan",IF(COUNTIF($A$5:A12,A12)&gt;1,"Mükerrer Kod","Uygun")))</x:f>
      </x:c>
    </x:row>
    <x:row r="13">
      <x:c r="A13" s="45"/>
      <x:c r="E13" s="49"/>
      <x:c r="G13" s="41"/>
      <x:c r="K13" s="53"/>
      <x:c r="L13" s="57"/>
    </x:row>
    <x:row r="14">
      <x:c r="A14" s="45"/>
      <x:c r="E14" s="49"/>
      <x:c r="G14" s="41"/>
      <x:c r="K14" s="53"/>
      <x:c r="L14" s="57"/>
    </x:row>
    <x:row r="15">
      <x:c r="A15" s="45"/>
      <x:c r="E15" s="49"/>
      <x:c r="G15" s="41"/>
      <x:c r="K15" s="53"/>
      <x:c r="L15" s="57"/>
    </x:row>
    <x:row r="16">
      <x:c r="A16" s="45"/>
      <x:c r="E16" s="49"/>
      <x:c r="G16" s="41"/>
      <x:c r="K16" s="53"/>
      <x:c r="L16" s="57"/>
    </x:row>
    <x:row r="17">
      <x:c r="A17" s="45"/>
      <x:c r="E17" s="49"/>
      <x:c r="G17" s="41"/>
      <x:c r="K17" s="53"/>
      <x:c r="L17" s="57"/>
    </x:row>
    <x:row r="18">
      <x:c r="A18" s="45"/>
      <x:c r="E18" s="49"/>
      <x:c r="G18" s="41"/>
      <x:c r="K18" s="53"/>
      <x:c r="L18" s="57"/>
    </x:row>
    <x:row r="19">
      <x:c r="A19" s="45"/>
      <x:c r="E19" s="49"/>
      <x:c r="G19" s="41"/>
      <x:c r="K19" s="53"/>
      <x:c r="L19" s="57"/>
    </x:row>
    <x:row r="20">
      <x:c r="A20" s="45"/>
      <x:c r="E20" s="49"/>
      <x:c r="G20" s="41"/>
      <x:c r="K20" s="53"/>
      <x:c r="L20" s="57"/>
    </x:row>
    <x:row r="21">
      <x:c r="A21" s="45"/>
      <x:c r="E21" s="49"/>
      <x:c r="G21" s="41"/>
      <x:c r="K21" s="53"/>
      <x:c r="L21" s="57"/>
    </x:row>
    <x:row r="22">
      <x:c r="A22" s="45"/>
      <x:c r="E22" s="49"/>
      <x:c r="G22" s="41"/>
      <x:c r="K22" s="53"/>
      <x:c r="L22" s="57"/>
    </x:row>
    <x:row r="23">
      <x:c r="A23" s="45"/>
      <x:c r="E23" s="49"/>
      <x:c r="G23" s="41"/>
      <x:c r="K23" s="53"/>
      <x:c r="L23" s="57"/>
    </x:row>
    <x:row r="24">
      <x:c r="A24" s="45"/>
      <x:c r="E24" s="49"/>
      <x:c r="G24" s="41"/>
      <x:c r="K24" s="53"/>
      <x:c r="L24" s="57"/>
    </x:row>
    <x:row r="25">
      <x:c r="A25" s="45"/>
      <x:c r="E25" s="49"/>
      <x:c r="G25" s="41"/>
      <x:c r="K25" s="53"/>
      <x:c r="L25" s="57"/>
    </x:row>
    <x:row r="26">
      <x:c r="A26" s="45"/>
      <x:c r="E26" s="49"/>
      <x:c r="G26" s="41"/>
      <x:c r="K26" s="53"/>
      <x:c r="L26" s="57"/>
    </x:row>
    <x:row r="27">
      <x:c r="A27" s="45"/>
      <x:c r="E27" s="49"/>
      <x:c r="G27" s="41"/>
      <x:c r="K27" s="53"/>
      <x:c r="L27" s="57"/>
    </x:row>
    <x:row r="28">
      <x:c r="A28" s="45"/>
      <x:c r="E28" s="49"/>
      <x:c r="G28" s="41"/>
      <x:c r="K28" s="53"/>
      <x:c r="L28" s="57"/>
    </x:row>
    <x:row r="29">
      <x:c r="A29" s="45"/>
      <x:c r="E29" s="49"/>
      <x:c r="G29" s="41"/>
      <x:c r="K29" s="53"/>
      <x:c r="L29" s="57"/>
    </x:row>
    <x:row r="30">
      <x:c r="A30" s="45"/>
      <x:c r="E30" s="49"/>
      <x:c r="G30" s="41"/>
      <x:c r="K30" s="53"/>
      <x:c r="L30" s="57"/>
    </x:row>
    <x:row r="31">
      <x:c r="A31" s="45"/>
      <x:c r="E31" s="49"/>
      <x:c r="G31" s="41"/>
      <x:c r="K31" s="53"/>
      <x:c r="L31" s="57"/>
    </x:row>
    <x:row r="32">
      <x:c r="A32" s="45"/>
      <x:c r="E32" s="49"/>
      <x:c r="G32" s="41"/>
      <x:c r="K32" s="53"/>
      <x:c r="L32" s="57"/>
    </x:row>
    <x:row r="33">
      <x:c r="A33" s="45"/>
      <x:c r="E33" s="49"/>
      <x:c r="G33" s="41"/>
      <x:c r="K33" s="53"/>
      <x:c r="L33" s="57"/>
    </x:row>
    <x:row r="34">
      <x:c r="A34" s="45"/>
      <x:c r="E34" s="49"/>
      <x:c r="G34" s="41"/>
      <x:c r="K34" s="53"/>
      <x:c r="L34" s="57"/>
    </x:row>
    <x:row r="35">
      <x:c r="A35" s="45"/>
      <x:c r="E35" s="49"/>
      <x:c r="G35" s="41"/>
      <x:c r="K35" s="53"/>
      <x:c r="L35" s="57"/>
    </x:row>
    <x:row r="36">
      <x:c r="A36" s="45"/>
      <x:c r="E36" s="49"/>
      <x:c r="G36" s="41"/>
      <x:c r="K36" s="53"/>
      <x:c r="L36" s="57"/>
    </x:row>
    <x:row r="37">
      <x:c r="A37" s="45"/>
      <x:c r="E37" s="49"/>
      <x:c r="G37" s="41"/>
      <x:c r="K37" s="53"/>
      <x:c r="L37" s="57"/>
    </x:row>
    <x:row r="38">
      <x:c r="A38" s="45"/>
      <x:c r="E38" s="49"/>
      <x:c r="G38" s="41"/>
      <x:c r="K38" s="53"/>
      <x:c r="L38" s="57"/>
    </x:row>
    <x:row r="39">
      <x:c r="A39" s="45"/>
      <x:c r="E39" s="49"/>
      <x:c r="G39" s="41"/>
      <x:c r="K39" s="53"/>
      <x:c r="L39" s="57"/>
    </x:row>
    <x:row r="40">
      <x:c r="A40" s="45"/>
      <x:c r="E40" s="49"/>
      <x:c r="G40" s="41"/>
      <x:c r="K40" s="53"/>
      <x:c r="L40" s="57"/>
    </x:row>
    <x:row r="41">
      <x:c r="A41" s="45"/>
      <x:c r="E41" s="49"/>
      <x:c r="G41" s="41"/>
      <x:c r="K41" s="53"/>
      <x:c r="L41" s="57"/>
    </x:row>
    <x:row r="42">
      <x:c r="A42" s="45"/>
      <x:c r="E42" s="49"/>
      <x:c r="G42" s="41"/>
      <x:c r="K42" s="53"/>
      <x:c r="L42" s="57"/>
    </x:row>
    <x:row r="43">
      <x:c r="A43" s="45"/>
      <x:c r="E43" s="49"/>
      <x:c r="G43" s="41"/>
      <x:c r="K43" s="53"/>
      <x:c r="L43" s="57"/>
    </x:row>
    <x:row r="44">
      <x:c r="A44" s="45"/>
      <x:c r="E44" s="49"/>
      <x:c r="G44" s="41"/>
      <x:c r="K44" s="53"/>
      <x:c r="L44" s="57"/>
    </x:row>
    <x:row r="45">
      <x:c r="A45" s="45"/>
      <x:c r="E45" s="49"/>
      <x:c r="G45" s="41"/>
      <x:c r="K45" s="53"/>
      <x:c r="L45" s="57"/>
    </x:row>
    <x:row r="46">
      <x:c r="A46" s="45"/>
      <x:c r="E46" s="49"/>
      <x:c r="G46" s="41"/>
      <x:c r="K46" s="53"/>
      <x:c r="L46" s="57"/>
    </x:row>
    <x:row r="47">
      <x:c r="A47" s="45"/>
      <x:c r="E47" s="49"/>
      <x:c r="G47" s="41"/>
      <x:c r="K47" s="53"/>
      <x:c r="L47" s="57"/>
    </x:row>
    <x:row r="48">
      <x:c r="A48" s="45"/>
      <x:c r="E48" s="49"/>
      <x:c r="G48" s="41"/>
      <x:c r="K48" s="53"/>
      <x:c r="L48" s="57"/>
    </x:row>
    <x:row r="49">
      <x:c r="A49" s="45"/>
      <x:c r="E49" s="49"/>
      <x:c r="G49" s="41"/>
      <x:c r="K49" s="53"/>
      <x:c r="L49" s="57"/>
    </x:row>
    <x:row r="50">
      <x:c r="A50" s="45"/>
      <x:c r="E50" s="49"/>
      <x:c r="G50" s="41"/>
      <x:c r="K50" s="53"/>
      <x:c r="L50" s="57"/>
    </x:row>
    <x:row r="51">
      <x:c r="A51" s="45"/>
      <x:c r="E51" s="49"/>
      <x:c r="G51" s="41"/>
      <x:c r="K51" s="53"/>
      <x:c r="L51" s="57"/>
    </x:row>
    <x:row r="52">
      <x:c r="A52" s="45"/>
      <x:c r="E52" s="49"/>
      <x:c r="G52" s="41"/>
      <x:c r="K52" s="53"/>
      <x:c r="L52" s="57"/>
    </x:row>
    <x:row r="53">
      <x:c r="A53" s="45"/>
      <x:c r="E53" s="49"/>
      <x:c r="G53" s="41"/>
      <x:c r="K53" s="53"/>
      <x:c r="L53" s="57"/>
    </x:row>
    <x:row r="54">
      <x:c r="A54" s="45"/>
      <x:c r="E54" s="49"/>
      <x:c r="G54" s="41"/>
      <x:c r="K54" s="53"/>
      <x:c r="L54" s="57"/>
    </x:row>
    <x:row r="55">
      <x:c r="A55" s="45"/>
      <x:c r="E55" s="49"/>
      <x:c r="G55" s="41"/>
      <x:c r="K55" s="53"/>
      <x:c r="L55" s="57"/>
    </x:row>
    <x:row r="56">
      <x:c r="A56" s="45"/>
      <x:c r="E56" s="49"/>
      <x:c r="G56" s="41"/>
      <x:c r="K56" s="53"/>
      <x:c r="L56" s="57"/>
    </x:row>
    <x:row r="57">
      <x:c r="A57" s="45"/>
      <x:c r="E57" s="49"/>
      <x:c r="G57" s="41"/>
      <x:c r="K57" s="53"/>
      <x:c r="L57" s="57"/>
    </x:row>
    <x:row r="58">
      <x:c r="A58" s="45"/>
      <x:c r="E58" s="49"/>
      <x:c r="G58" s="41"/>
      <x:c r="K58" s="53"/>
      <x:c r="L58" s="57"/>
    </x:row>
    <x:row r="59">
      <x:c r="A59" s="45"/>
      <x:c r="E59" s="49"/>
      <x:c r="G59" s="41"/>
      <x:c r="K59" s="53"/>
      <x:c r="L59" s="57"/>
    </x:row>
    <x:row r="60">
      <x:c r="A60" s="45"/>
      <x:c r="E60" s="49"/>
      <x:c r="G60" s="41"/>
      <x:c r="K60" s="53"/>
      <x:c r="L60" s="57"/>
    </x:row>
    <x:row r="61">
      <x:c r="A61" s="45"/>
      <x:c r="E61" s="49"/>
      <x:c r="G61" s="41"/>
      <x:c r="K61" s="53"/>
      <x:c r="L61" s="57"/>
    </x:row>
    <x:row r="62">
      <x:c r="A62" s="45"/>
      <x:c r="E62" s="49"/>
      <x:c r="G62" s="41"/>
      <x:c r="K62" s="53"/>
      <x:c r="L62" s="57"/>
    </x:row>
    <x:row r="63">
      <x:c r="A63" s="45"/>
      <x:c r="E63" s="49"/>
      <x:c r="G63" s="41"/>
      <x:c r="K63" s="53"/>
      <x:c r="L63" s="57"/>
    </x:row>
    <x:row r="64">
      <x:c r="A64" s="45"/>
      <x:c r="E64" s="49"/>
      <x:c r="G64" s="41"/>
      <x:c r="K64" s="53"/>
      <x:c r="L64" s="57"/>
    </x:row>
    <x:row r="65">
      <x:c r="A65" s="45"/>
      <x:c r="E65" s="49"/>
      <x:c r="G65" s="41"/>
      <x:c r="K65" s="53"/>
      <x:c r="L65" s="57"/>
    </x:row>
    <x:row r="66">
      <x:c r="A66" s="45"/>
      <x:c r="E66" s="49"/>
      <x:c r="G66" s="41"/>
      <x:c r="K66" s="53"/>
      <x:c r="L66" s="57"/>
    </x:row>
    <x:row r="67">
      <x:c r="A67" s="45"/>
      <x:c r="E67" s="49"/>
      <x:c r="G67" s="41"/>
      <x:c r="K67" s="53"/>
      <x:c r="L67" s="57"/>
    </x:row>
    <x:row r="68">
      <x:c r="A68" s="45"/>
      <x:c r="E68" s="49"/>
      <x:c r="G68" s="41"/>
      <x:c r="K68" s="53"/>
      <x:c r="L68" s="57"/>
    </x:row>
    <x:row r="69">
      <x:c r="A69" s="45"/>
      <x:c r="E69" s="49"/>
      <x:c r="G69" s="41"/>
      <x:c r="K69" s="53"/>
      <x:c r="L69" s="57"/>
    </x:row>
    <x:row r="70">
      <x:c r="A70" s="45"/>
      <x:c r="E70" s="49"/>
      <x:c r="G70" s="41"/>
      <x:c r="K70" s="53"/>
      <x:c r="L70" s="57"/>
    </x:row>
    <x:row r="71">
      <x:c r="A71" s="45"/>
      <x:c r="E71" s="49"/>
      <x:c r="G71" s="41"/>
      <x:c r="K71" s="53"/>
      <x:c r="L71" s="57"/>
    </x:row>
    <x:row r="72">
      <x:c r="A72" s="45"/>
      <x:c r="E72" s="49"/>
      <x:c r="G72" s="41"/>
      <x:c r="K72" s="53"/>
      <x:c r="L72" s="57"/>
    </x:row>
    <x:row r="73">
      <x:c r="A73" s="45"/>
      <x:c r="E73" s="49"/>
      <x:c r="G73" s="41"/>
      <x:c r="K73" s="53"/>
      <x:c r="L73" s="57"/>
    </x:row>
    <x:row r="74">
      <x:c r="A74" s="45"/>
      <x:c r="E74" s="49"/>
      <x:c r="G74" s="41"/>
      <x:c r="K74" s="53"/>
      <x:c r="L74" s="57"/>
    </x:row>
    <x:row r="75">
      <x:c r="A75" s="45"/>
      <x:c r="E75" s="49"/>
      <x:c r="G75" s="41"/>
      <x:c r="K75" s="53"/>
      <x:c r="L75" s="57"/>
    </x:row>
    <x:row r="76">
      <x:c r="A76" s="45"/>
      <x:c r="E76" s="49"/>
      <x:c r="G76" s="41"/>
      <x:c r="K76" s="53"/>
      <x:c r="L76" s="57"/>
    </x:row>
    <x:row r="77">
      <x:c r="A77" s="45"/>
      <x:c r="E77" s="49"/>
      <x:c r="G77" s="41"/>
      <x:c r="K77" s="53"/>
      <x:c r="L77" s="57"/>
    </x:row>
    <x:row r="78">
      <x:c r="A78" s="45"/>
      <x:c r="E78" s="49"/>
      <x:c r="G78" s="41"/>
      <x:c r="K78" s="53"/>
      <x:c r="L78" s="57"/>
    </x:row>
    <x:row r="79">
      <x:c r="A79" s="45"/>
      <x:c r="E79" s="49"/>
      <x:c r="G79" s="41"/>
      <x:c r="K79" s="53"/>
      <x:c r="L79" s="57"/>
    </x:row>
    <x:row r="80">
      <x:c r="A80" s="45"/>
      <x:c r="E80" s="49"/>
      <x:c r="G80" s="41"/>
      <x:c r="K80" s="53"/>
      <x:c r="L80" s="57"/>
    </x:row>
    <x:row r="81">
      <x:c r="A81" s="45"/>
      <x:c r="E81" s="49"/>
      <x:c r="G81" s="41"/>
      <x:c r="K81" s="53"/>
      <x:c r="L81" s="57"/>
    </x:row>
    <x:row r="82">
      <x:c r="A82" s="45"/>
      <x:c r="E82" s="49"/>
      <x:c r="G82" s="41"/>
      <x:c r="K82" s="53"/>
      <x:c r="L82" s="57"/>
    </x:row>
    <x:row r="83">
      <x:c r="A83" s="45"/>
      <x:c r="E83" s="49"/>
      <x:c r="G83" s="41"/>
      <x:c r="K83" s="53"/>
      <x:c r="L83" s="57"/>
    </x:row>
    <x:row r="84">
      <x:c r="A84" s="45"/>
      <x:c r="E84" s="49"/>
      <x:c r="G84" s="41"/>
      <x:c r="K84" s="53"/>
      <x:c r="L84" s="57"/>
    </x:row>
    <x:row r="85">
      <x:c r="A85" s="45"/>
      <x:c r="E85" s="49"/>
      <x:c r="G85" s="41"/>
      <x:c r="K85" s="53"/>
      <x:c r="L85" s="57"/>
    </x:row>
    <x:row r="86">
      <x:c r="A86" s="45"/>
      <x:c r="E86" s="49"/>
      <x:c r="G86" s="41"/>
      <x:c r="K86" s="53"/>
      <x:c r="L86" s="57"/>
    </x:row>
    <x:row r="87">
      <x:c r="A87" s="45"/>
      <x:c r="E87" s="49"/>
      <x:c r="G87" s="41"/>
      <x:c r="K87" s="53"/>
      <x:c r="L87" s="57"/>
    </x:row>
    <x:row r="88">
      <x:c r="A88" s="45"/>
      <x:c r="E88" s="49"/>
      <x:c r="G88" s="41"/>
      <x:c r="K88" s="53"/>
      <x:c r="L88" s="57"/>
    </x:row>
    <x:row r="89">
      <x:c r="A89" s="45"/>
      <x:c r="E89" s="49"/>
      <x:c r="G89" s="41"/>
      <x:c r="K89" s="53"/>
      <x:c r="L89" s="57"/>
    </x:row>
    <x:row r="90">
      <x:c r="A90" s="45"/>
      <x:c r="E90" s="49"/>
      <x:c r="G90" s="41"/>
      <x:c r="K90" s="53"/>
      <x:c r="L90" s="57"/>
    </x:row>
    <x:row r="91">
      <x:c r="A91" s="45"/>
      <x:c r="E91" s="49"/>
      <x:c r="G91" s="41"/>
      <x:c r="K91" s="53"/>
      <x:c r="L91" s="57"/>
    </x:row>
    <x:row r="92">
      <x:c r="A92" s="45"/>
      <x:c r="E92" s="49"/>
      <x:c r="G92" s="41"/>
      <x:c r="K92" s="53"/>
      <x:c r="L92" s="57"/>
    </x:row>
    <x:row r="93">
      <x:c r="A93" s="45"/>
      <x:c r="E93" s="49"/>
      <x:c r="G93" s="41"/>
      <x:c r="K93" s="53"/>
      <x:c r="L93" s="57"/>
    </x:row>
    <x:row r="94">
      <x:c r="A94" s="45"/>
      <x:c r="E94" s="49"/>
      <x:c r="G94" s="41"/>
      <x:c r="K94" s="53"/>
      <x:c r="L94" s="57"/>
    </x:row>
    <x:row r="95">
      <x:c r="A95" s="45"/>
      <x:c r="E95" s="49"/>
      <x:c r="G95" s="41"/>
      <x:c r="K95" s="53"/>
      <x:c r="L95" s="57"/>
    </x:row>
    <x:row r="96">
      <x:c r="A96" s="45"/>
      <x:c r="E96" s="49"/>
      <x:c r="G96" s="41"/>
      <x:c r="K96" s="53"/>
      <x:c r="L96" s="57"/>
    </x:row>
    <x:row r="97">
      <x:c r="A97" s="45"/>
      <x:c r="E97" s="49"/>
      <x:c r="G97" s="41"/>
      <x:c r="K97" s="53"/>
      <x:c r="L97" s="57"/>
    </x:row>
    <x:row r="98">
      <x:c r="A98" s="45"/>
      <x:c r="E98" s="49"/>
      <x:c r="G98" s="41"/>
      <x:c r="K98" s="53"/>
      <x:c r="L98" s="57"/>
    </x:row>
    <x:row r="99">
      <x:c r="A99" s="45"/>
      <x:c r="E99" s="49"/>
      <x:c r="G99" s="41"/>
      <x:c r="K99" s="53"/>
      <x:c r="L99" s="57"/>
    </x:row>
    <x:row r="100">
      <x:c r="A100" s="45"/>
      <x:c r="E100" s="49"/>
      <x:c r="G100" s="41"/>
      <x:c r="K100" s="53"/>
      <x:c r="L100" s="57"/>
    </x:row>
    <x:row r="101">
      <x:c r="A101" s="45"/>
      <x:c r="E101" s="49"/>
      <x:c r="G101" s="41"/>
      <x:c r="K101" s="53"/>
      <x:c r="L101" s="57"/>
    </x:row>
    <x:row r="102">
      <x:c r="A102" s="45"/>
      <x:c r="E102" s="49"/>
      <x:c r="G102" s="41"/>
      <x:c r="K102" s="53"/>
      <x:c r="L102" s="57"/>
    </x:row>
    <x:row r="103">
      <x:c r="A103" s="45"/>
      <x:c r="E103" s="49"/>
      <x:c r="G103" s="41"/>
      <x:c r="K103" s="53"/>
      <x:c r="L103" s="57"/>
    </x:row>
    <x:row r="104">
      <x:c r="A104" s="45"/>
      <x:c r="E104" s="49"/>
      <x:c r="G104" s="41"/>
      <x:c r="K104" s="53"/>
      <x:c r="L104" s="57"/>
    </x:row>
    <x:row r="105">
      <x:c r="A105" s="45"/>
      <x:c r="E105" s="49"/>
      <x:c r="G105" s="41"/>
      <x:c r="K105" s="53"/>
      <x:c r="L105" s="57"/>
    </x:row>
    <x:row r="106">
      <x:c r="A106" s="45"/>
      <x:c r="E106" s="49"/>
      <x:c r="G106" s="41"/>
      <x:c r="K106" s="53"/>
      <x:c r="L106" s="57"/>
    </x:row>
    <x:row r="107">
      <x:c r="A107" s="45"/>
      <x:c r="E107" s="49"/>
      <x:c r="G107" s="41"/>
      <x:c r="K107" s="53"/>
      <x:c r="L107" s="57"/>
    </x:row>
    <x:row r="108">
      <x:c r="A108" s="45"/>
      <x:c r="E108" s="49"/>
      <x:c r="G108" s="41"/>
      <x:c r="K108" s="53"/>
      <x:c r="L108" s="57"/>
    </x:row>
    <x:row r="109">
      <x:c r="A109" s="45"/>
      <x:c r="E109" s="49"/>
      <x:c r="G109" s="41"/>
      <x:c r="K109" s="53"/>
      <x:c r="L109" s="57"/>
    </x:row>
    <x:row r="110">
      <x:c r="A110" s="45"/>
      <x:c r="E110" s="49"/>
      <x:c r="G110" s="41"/>
      <x:c r="K110" s="53"/>
      <x:c r="L110" s="57"/>
    </x:row>
    <x:row r="111">
      <x:c r="A111" s="45"/>
      <x:c r="E111" s="49"/>
      <x:c r="G111" s="41"/>
      <x:c r="K111" s="53"/>
      <x:c r="L111" s="57"/>
    </x:row>
    <x:row r="112">
      <x:c r="A112" s="45"/>
      <x:c r="E112" s="49"/>
      <x:c r="G112" s="41"/>
      <x:c r="K112" s="53"/>
      <x:c r="L112" s="57"/>
    </x:row>
    <x:row r="113">
      <x:c r="A113" s="45"/>
      <x:c r="E113" s="49"/>
      <x:c r="G113" s="41"/>
      <x:c r="K113" s="53"/>
      <x:c r="L113" s="57"/>
    </x:row>
    <x:row r="114">
      <x:c r="A114" s="45"/>
      <x:c r="E114" s="49"/>
      <x:c r="G114" s="41"/>
      <x:c r="K114" s="53"/>
      <x:c r="L114" s="57"/>
    </x:row>
    <x:row r="115">
      <x:c r="A115" s="45"/>
      <x:c r="E115" s="49"/>
      <x:c r="G115" s="41"/>
      <x:c r="K115" s="53"/>
      <x:c r="L115" s="57"/>
    </x:row>
    <x:row r="116">
      <x:c r="A116" s="45"/>
      <x:c r="E116" s="49"/>
      <x:c r="G116" s="41"/>
      <x:c r="K116" s="53"/>
      <x:c r="L116" s="57"/>
    </x:row>
    <x:row r="117">
      <x:c r="A117" s="45"/>
      <x:c r="E117" s="49"/>
      <x:c r="G117" s="41"/>
      <x:c r="K117" s="53"/>
      <x:c r="L117" s="57"/>
    </x:row>
    <x:row r="118">
      <x:c r="A118" s="45"/>
      <x:c r="E118" s="49"/>
      <x:c r="G118" s="41"/>
      <x:c r="K118" s="53"/>
      <x:c r="L118" s="57"/>
    </x:row>
    <x:row r="119">
      <x:c r="A119" s="45"/>
      <x:c r="E119" s="49"/>
      <x:c r="G119" s="41"/>
      <x:c r="K119" s="53"/>
      <x:c r="L119" s="57"/>
    </x:row>
    <x:row r="120">
      <x:c r="A120" s="45"/>
      <x:c r="E120" s="49"/>
      <x:c r="G120" s="41"/>
      <x:c r="K120" s="53"/>
      <x:c r="L120" s="57"/>
    </x:row>
    <x:row r="121">
      <x:c r="A121" s="45"/>
      <x:c r="E121" s="49"/>
      <x:c r="G121" s="41"/>
      <x:c r="K121" s="53"/>
      <x:c r="L121" s="57"/>
    </x:row>
    <x:row r="122">
      <x:c r="A122" s="45"/>
      <x:c r="E122" s="49"/>
      <x:c r="G122" s="41"/>
      <x:c r="K122" s="53"/>
      <x:c r="L122" s="57"/>
    </x:row>
    <x:row r="123">
      <x:c r="A123" s="45"/>
      <x:c r="E123" s="49"/>
      <x:c r="G123" s="41"/>
      <x:c r="K123" s="53"/>
      <x:c r="L123" s="57"/>
    </x:row>
    <x:row r="124">
      <x:c r="A124" s="45"/>
      <x:c r="E124" s="49"/>
      <x:c r="G124" s="41"/>
      <x:c r="K124" s="53"/>
      <x:c r="L124" s="57"/>
    </x:row>
    <x:row r="125">
      <x:c r="A125" s="45"/>
      <x:c r="E125" s="49"/>
      <x:c r="G125" s="41"/>
      <x:c r="K125" s="53"/>
      <x:c r="L125" s="57"/>
    </x:row>
    <x:row r="126">
      <x:c r="A126" s="45"/>
      <x:c r="E126" s="49"/>
      <x:c r="G126" s="41"/>
      <x:c r="K126" s="53"/>
      <x:c r="L126" s="57"/>
    </x:row>
    <x:row r="127">
      <x:c r="A127" s="45"/>
      <x:c r="E127" s="49"/>
      <x:c r="G127" s="41"/>
      <x:c r="K127" s="53"/>
      <x:c r="L127" s="57"/>
    </x:row>
    <x:row r="128">
      <x:c r="A128" s="45"/>
      <x:c r="E128" s="49"/>
      <x:c r="G128" s="41"/>
      <x:c r="K128" s="53"/>
      <x:c r="L128" s="57"/>
    </x:row>
    <x:row r="129">
      <x:c r="A129" s="45"/>
      <x:c r="E129" s="49"/>
      <x:c r="G129" s="41"/>
      <x:c r="K129" s="53"/>
      <x:c r="L129" s="57"/>
    </x:row>
    <x:row r="130">
      <x:c r="A130" s="45"/>
      <x:c r="E130" s="49"/>
      <x:c r="G130" s="41"/>
      <x:c r="K130" s="53"/>
      <x:c r="L130" s="57"/>
    </x:row>
    <x:row r="131">
      <x:c r="A131" s="45"/>
      <x:c r="E131" s="49"/>
      <x:c r="G131" s="41"/>
      <x:c r="K131" s="53"/>
      <x:c r="L131" s="57"/>
    </x:row>
    <x:row r="132">
      <x:c r="A132" s="45"/>
      <x:c r="E132" s="49"/>
      <x:c r="G132" s="41"/>
      <x:c r="K132" s="53"/>
      <x:c r="L132" s="57"/>
    </x:row>
    <x:row r="133">
      <x:c r="A133" s="45"/>
      <x:c r="E133" s="49"/>
      <x:c r="G133" s="41"/>
      <x:c r="K133" s="53"/>
      <x:c r="L133" s="57"/>
    </x:row>
    <x:row r="134">
      <x:c r="A134" s="45"/>
      <x:c r="E134" s="49"/>
      <x:c r="G134" s="41"/>
      <x:c r="K134" s="53"/>
      <x:c r="L134" s="57"/>
    </x:row>
    <x:row r="135">
      <x:c r="A135" s="45"/>
      <x:c r="E135" s="49"/>
      <x:c r="G135" s="41"/>
      <x:c r="K135" s="53"/>
      <x:c r="L135" s="57"/>
    </x:row>
    <x:row r="136">
      <x:c r="A136" s="45"/>
      <x:c r="E136" s="49"/>
      <x:c r="G136" s="41"/>
      <x:c r="K136" s="53"/>
      <x:c r="L136" s="57"/>
    </x:row>
    <x:row r="137">
      <x:c r="A137" s="45"/>
      <x:c r="E137" s="49"/>
      <x:c r="G137" s="41"/>
      <x:c r="K137" s="53"/>
      <x:c r="L137" s="57"/>
    </x:row>
    <x:row r="138">
      <x:c r="A138" s="45"/>
      <x:c r="E138" s="49"/>
      <x:c r="G138" s="41"/>
      <x:c r="K138" s="53"/>
      <x:c r="L138" s="57"/>
    </x:row>
    <x:row r="139">
      <x:c r="A139" s="45"/>
      <x:c r="E139" s="49"/>
      <x:c r="G139" s="41"/>
      <x:c r="K139" s="53"/>
      <x:c r="L139" s="57"/>
    </x:row>
    <x:row r="140">
      <x:c r="A140" s="45"/>
      <x:c r="E140" s="49"/>
      <x:c r="G140" s="41"/>
      <x:c r="K140" s="53"/>
      <x:c r="L140" s="57"/>
    </x:row>
    <x:row r="141">
      <x:c r="A141" s="45"/>
      <x:c r="E141" s="49"/>
      <x:c r="G141" s="41"/>
      <x:c r="K141" s="53"/>
      <x:c r="L141" s="57"/>
    </x:row>
    <x:row r="142">
      <x:c r="A142" s="45"/>
      <x:c r="E142" s="49"/>
      <x:c r="G142" s="41"/>
      <x:c r="K142" s="53"/>
      <x:c r="L142" s="57"/>
    </x:row>
    <x:row r="143">
      <x:c r="A143" s="45"/>
      <x:c r="E143" s="49"/>
      <x:c r="G143" s="41"/>
      <x:c r="K143" s="53"/>
      <x:c r="L143" s="57"/>
    </x:row>
    <x:row r="144">
      <x:c r="A144" s="45"/>
      <x:c r="E144" s="49"/>
      <x:c r="G144" s="41"/>
      <x:c r="K144" s="53"/>
      <x:c r="L144" s="57"/>
    </x:row>
    <x:row r="145">
      <x:c r="A145" s="45"/>
      <x:c r="E145" s="49"/>
      <x:c r="G145" s="41"/>
      <x:c r="K145" s="53"/>
      <x:c r="L145" s="57"/>
    </x:row>
    <x:row r="146">
      <x:c r="A146" s="45"/>
      <x:c r="E146" s="49"/>
      <x:c r="G146" s="41"/>
      <x:c r="K146" s="53"/>
      <x:c r="L146" s="57"/>
    </x:row>
    <x:row r="147">
      <x:c r="A147" s="45"/>
      <x:c r="E147" s="49"/>
      <x:c r="G147" s="41"/>
      <x:c r="K147" s="53"/>
      <x:c r="L147" s="57"/>
    </x:row>
    <x:row r="148">
      <x:c r="A148" s="45"/>
      <x:c r="E148" s="49"/>
      <x:c r="G148" s="41"/>
      <x:c r="K148" s="53"/>
      <x:c r="L148" s="57"/>
    </x:row>
    <x:row r="149">
      <x:c r="A149" s="45"/>
      <x:c r="E149" s="49"/>
      <x:c r="G149" s="41"/>
      <x:c r="K149" s="53"/>
      <x:c r="L149" s="57"/>
    </x:row>
    <x:row r="150">
      <x:c r="A150" s="45"/>
      <x:c r="E150" s="49"/>
      <x:c r="G150" s="41"/>
      <x:c r="K150" s="53"/>
      <x:c r="L150" s="57"/>
    </x:row>
    <x:row r="151">
      <x:c r="A151" s="45"/>
      <x:c r="E151" s="49"/>
      <x:c r="G151" s="41"/>
      <x:c r="K151" s="53"/>
      <x:c r="L151" s="57"/>
    </x:row>
    <x:row r="152">
      <x:c r="A152" s="45"/>
      <x:c r="E152" s="49"/>
      <x:c r="G152" s="41"/>
      <x:c r="K152" s="53"/>
      <x:c r="L152" s="57"/>
    </x:row>
    <x:row r="153">
      <x:c r="A153" s="45"/>
      <x:c r="E153" s="49"/>
      <x:c r="G153" s="41"/>
      <x:c r="K153" s="53"/>
      <x:c r="L153" s="57"/>
    </x:row>
    <x:row r="154">
      <x:c r="A154" s="45"/>
      <x:c r="E154" s="49"/>
      <x:c r="G154" s="41"/>
      <x:c r="K154" s="53"/>
      <x:c r="L154" s="57"/>
    </x:row>
    <x:row r="155">
      <x:c r="A155" s="45"/>
      <x:c r="E155" s="49"/>
      <x:c r="G155" s="41"/>
      <x:c r="K155" s="53"/>
      <x:c r="L155" s="57"/>
    </x:row>
    <x:row r="156">
      <x:c r="A156" s="45"/>
      <x:c r="E156" s="49"/>
      <x:c r="G156" s="41"/>
      <x:c r="K156" s="53"/>
      <x:c r="L156" s="57"/>
    </x:row>
    <x:row r="157">
      <x:c r="A157" s="45"/>
      <x:c r="E157" s="49"/>
      <x:c r="G157" s="41"/>
      <x:c r="K157" s="53"/>
      <x:c r="L157" s="57"/>
    </x:row>
    <x:row r="158">
      <x:c r="A158" s="45"/>
      <x:c r="E158" s="49"/>
      <x:c r="G158" s="41"/>
      <x:c r="K158" s="53"/>
      <x:c r="L158" s="57"/>
    </x:row>
    <x:row r="159">
      <x:c r="A159" s="45"/>
      <x:c r="E159" s="49"/>
      <x:c r="G159" s="41"/>
      <x:c r="K159" s="53"/>
      <x:c r="L159" s="57"/>
    </x:row>
    <x:row r="160">
      <x:c r="A160" s="45"/>
      <x:c r="E160" s="49"/>
      <x:c r="G160" s="41"/>
      <x:c r="K160" s="53"/>
      <x:c r="L160" s="57"/>
    </x:row>
    <x:row r="161">
      <x:c r="A161" s="45"/>
      <x:c r="E161" s="49"/>
      <x:c r="G161" s="41"/>
      <x:c r="K161" s="53"/>
      <x:c r="L161" s="57"/>
    </x:row>
    <x:row r="162">
      <x:c r="A162" s="45"/>
      <x:c r="E162" s="49"/>
      <x:c r="G162" s="41"/>
      <x:c r="K162" s="53"/>
      <x:c r="L162" s="57"/>
    </x:row>
    <x:row r="163">
      <x:c r="A163" s="45"/>
      <x:c r="E163" s="49"/>
      <x:c r="G163" s="41"/>
      <x:c r="K163" s="53"/>
      <x:c r="L163" s="57"/>
    </x:row>
    <x:row r="164">
      <x:c r="A164" s="45"/>
      <x:c r="E164" s="49"/>
      <x:c r="G164" s="41"/>
      <x:c r="K164" s="53"/>
      <x:c r="L164" s="57"/>
    </x:row>
    <x:row r="165">
      <x:c r="A165" s="45"/>
      <x:c r="E165" s="49"/>
      <x:c r="G165" s="41"/>
      <x:c r="K165" s="53"/>
      <x:c r="L165" s="57"/>
    </x:row>
    <x:row r="166">
      <x:c r="A166" s="45"/>
      <x:c r="E166" s="49"/>
      <x:c r="G166" s="41"/>
      <x:c r="K166" s="53"/>
      <x:c r="L166" s="57"/>
    </x:row>
    <x:row r="167">
      <x:c r="A167" s="45"/>
      <x:c r="E167" s="49"/>
      <x:c r="G167" s="41"/>
      <x:c r="K167" s="53"/>
      <x:c r="L167" s="57"/>
    </x:row>
    <x:row r="168">
      <x:c r="A168" s="45"/>
      <x:c r="E168" s="49"/>
      <x:c r="G168" s="41"/>
      <x:c r="K168" s="53"/>
      <x:c r="L168" s="57"/>
    </x:row>
    <x:row r="169">
      <x:c r="A169" s="45"/>
      <x:c r="E169" s="49"/>
      <x:c r="G169" s="41"/>
      <x:c r="K169" s="53"/>
      <x:c r="L169" s="57"/>
    </x:row>
    <x:row r="170">
      <x:c r="A170" s="45"/>
      <x:c r="E170" s="49"/>
      <x:c r="G170" s="41"/>
      <x:c r="K170" s="53"/>
      <x:c r="L170" s="57"/>
    </x:row>
    <x:row r="171">
      <x:c r="A171" s="45"/>
      <x:c r="E171" s="49"/>
      <x:c r="G171" s="41"/>
      <x:c r="K171" s="53"/>
      <x:c r="L171" s="57"/>
    </x:row>
    <x:row r="172">
      <x:c r="A172" s="45"/>
      <x:c r="E172" s="49"/>
      <x:c r="G172" s="41"/>
      <x:c r="K172" s="53"/>
      <x:c r="L172" s="57"/>
    </x:row>
    <x:row r="173">
      <x:c r="A173" s="45"/>
      <x:c r="E173" s="49"/>
      <x:c r="G173" s="41"/>
      <x:c r="K173" s="53"/>
      <x:c r="L173" s="57"/>
    </x:row>
    <x:row r="174">
      <x:c r="A174" s="45"/>
      <x:c r="E174" s="49"/>
      <x:c r="G174" s="41"/>
      <x:c r="K174" s="53"/>
      <x:c r="L174" s="57"/>
    </x:row>
    <x:row r="175">
      <x:c r="A175" s="45"/>
      <x:c r="E175" s="49"/>
      <x:c r="G175" s="41"/>
      <x:c r="K175" s="53"/>
      <x:c r="L175" s="57"/>
    </x:row>
    <x:row r="176">
      <x:c r="A176" s="45"/>
      <x:c r="E176" s="49"/>
      <x:c r="G176" s="41"/>
      <x:c r="K176" s="53"/>
      <x:c r="L176" s="57"/>
    </x:row>
    <x:row r="177">
      <x:c r="A177" s="45"/>
      <x:c r="E177" s="49"/>
      <x:c r="G177" s="41"/>
      <x:c r="K177" s="53"/>
      <x:c r="L177" s="57"/>
    </x:row>
    <x:row r="178">
      <x:c r="A178" s="45"/>
      <x:c r="E178" s="49"/>
      <x:c r="G178" s="41"/>
      <x:c r="K178" s="53"/>
      <x:c r="L178" s="57"/>
    </x:row>
    <x:row r="179">
      <x:c r="A179" s="45"/>
      <x:c r="E179" s="49"/>
      <x:c r="G179" s="41"/>
      <x:c r="K179" s="53"/>
      <x:c r="L179" s="57"/>
    </x:row>
    <x:row r="180">
      <x:c r="A180" s="45"/>
      <x:c r="E180" s="49"/>
      <x:c r="G180" s="41"/>
      <x:c r="K180" s="53"/>
      <x:c r="L180" s="57"/>
    </x:row>
    <x:row r="181">
      <x:c r="A181" s="45"/>
      <x:c r="E181" s="49"/>
      <x:c r="G181" s="41"/>
      <x:c r="K181" s="53"/>
      <x:c r="L181" s="57"/>
    </x:row>
    <x:row r="182">
      <x:c r="A182" s="45"/>
      <x:c r="E182" s="49"/>
      <x:c r="G182" s="41"/>
      <x:c r="K182" s="53"/>
      <x:c r="L182" s="57"/>
    </x:row>
    <x:row r="183">
      <x:c r="A183" s="45"/>
      <x:c r="E183" s="49"/>
      <x:c r="G183" s="41"/>
      <x:c r="K183" s="53"/>
      <x:c r="L183" s="57"/>
    </x:row>
    <x:row r="184">
      <x:c r="A184" s="45"/>
      <x:c r="E184" s="49"/>
      <x:c r="G184" s="41"/>
      <x:c r="K184" s="53"/>
      <x:c r="L184" s="57"/>
    </x:row>
    <x:row r="185">
      <x:c r="A185" s="45"/>
      <x:c r="E185" s="49"/>
      <x:c r="G185" s="41"/>
      <x:c r="K185" s="53"/>
      <x:c r="L185" s="57"/>
    </x:row>
    <x:row r="186">
      <x:c r="A186" s="45"/>
      <x:c r="E186" s="49"/>
      <x:c r="G186" s="41"/>
      <x:c r="K186" s="53"/>
      <x:c r="L186" s="57"/>
    </x:row>
    <x:row r="187">
      <x:c r="A187" s="45"/>
      <x:c r="E187" s="49"/>
      <x:c r="G187" s="41"/>
      <x:c r="K187" s="53"/>
      <x:c r="L187" s="57"/>
    </x:row>
    <x:row r="188">
      <x:c r="A188" s="45"/>
      <x:c r="E188" s="49"/>
      <x:c r="G188" s="41"/>
      <x:c r="K188" s="53"/>
      <x:c r="L188" s="57"/>
    </x:row>
    <x:row r="189">
      <x:c r="A189" s="45"/>
      <x:c r="E189" s="49"/>
      <x:c r="G189" s="41"/>
      <x:c r="K189" s="53"/>
      <x:c r="L189" s="57"/>
    </x:row>
    <x:row r="190">
      <x:c r="A190" s="45"/>
      <x:c r="E190" s="49"/>
      <x:c r="G190" s="41"/>
      <x:c r="K190" s="53"/>
      <x:c r="L190" s="57"/>
    </x:row>
    <x:row r="191">
      <x:c r="A191" s="45"/>
      <x:c r="E191" s="49"/>
      <x:c r="G191" s="41"/>
      <x:c r="K191" s="53"/>
      <x:c r="L191" s="57"/>
    </x:row>
    <x:row r="192">
      <x:c r="A192" s="45"/>
      <x:c r="E192" s="49"/>
      <x:c r="G192" s="41"/>
      <x:c r="K192" s="53"/>
      <x:c r="L192" s="57"/>
    </x:row>
    <x:row r="193">
      <x:c r="A193" s="45"/>
      <x:c r="E193" s="49"/>
      <x:c r="G193" s="41"/>
      <x:c r="K193" s="53"/>
      <x:c r="L193" s="57"/>
    </x:row>
    <x:row r="194">
      <x:c r="A194" s="45"/>
      <x:c r="E194" s="49"/>
      <x:c r="G194" s="41"/>
      <x:c r="K194" s="53"/>
      <x:c r="L194" s="57"/>
    </x:row>
    <x:row r="195">
      <x:c r="A195" s="45"/>
      <x:c r="E195" s="49"/>
      <x:c r="G195" s="41"/>
      <x:c r="K195" s="53"/>
      <x:c r="L195" s="57"/>
    </x:row>
    <x:row r="196">
      <x:c r="A196" s="45"/>
      <x:c r="E196" s="49"/>
      <x:c r="G196" s="41"/>
      <x:c r="K196" s="53"/>
      <x:c r="L196" s="57"/>
    </x:row>
    <x:row r="197">
      <x:c r="A197" s="45"/>
      <x:c r="E197" s="49"/>
      <x:c r="G197" s="41"/>
      <x:c r="K197" s="53"/>
      <x:c r="L197" s="57"/>
    </x:row>
    <x:row r="198">
      <x:c r="A198" s="45"/>
      <x:c r="E198" s="49"/>
      <x:c r="G198" s="41"/>
      <x:c r="K198" s="53"/>
      <x:c r="L198" s="57"/>
    </x:row>
    <x:row r="199">
      <x:c r="A199" s="45"/>
      <x:c r="E199" s="49"/>
      <x:c r="G199" s="41"/>
      <x:c r="K199" s="53"/>
      <x:c r="L199" s="57"/>
    </x:row>
    <x:row r="200">
      <x:c r="A200" s="45"/>
      <x:c r="E200" s="49"/>
      <x:c r="G200" s="41"/>
      <x:c r="K200" s="53"/>
      <x:c r="L200" s="57"/>
    </x:row>
    <x:row r="201">
      <x:c r="A201" s="45"/>
      <x:c r="E201" s="49"/>
      <x:c r="G201" s="41"/>
      <x:c r="K201" s="53"/>
      <x:c r="L201" s="57"/>
    </x:row>
    <x:row r="202">
      <x:c r="A202" s="45"/>
      <x:c r="E202" s="49"/>
      <x:c r="G202" s="41"/>
      <x:c r="K202" s="53"/>
      <x:c r="L202" s="57"/>
    </x:row>
    <x:row r="203">
      <x:c r="A203" s="45"/>
      <x:c r="E203" s="49"/>
      <x:c r="G203" s="41"/>
      <x:c r="K203" s="53"/>
      <x:c r="L203" s="57"/>
    </x:row>
  </x:sheetData>
  <x:mergeCells>
    <x:mergeCell ref="A1:O1"/>
    <x:mergeCell ref="A2:O2"/>
  </x:mergeCells>
  <x:conditionalFormatting sqref="O5:O203">
    <x:cfRule type="expression" dxfId="0" priority="1">
      <x:formula>O5="Uygun"</x:formula>
    </x:cfRule>
    <x:cfRule type="expression" dxfId="1" priority="2">
      <x:formula>AND(O5&lt;&gt;"",O5&lt;&gt;"Uygun")</x:formula>
    </x:cfRule>
  </x:conditionalFormatting>
  <x:conditionalFormatting sqref="M5:M203">
    <x:cfRule type="expression" dxfId="2" priority="3">
      <x:formula>M5="Kırmızı"</x:formula>
    </x:cfRule>
    <x:cfRule type="expression" dxfId="3" priority="4">
      <x:formula>M5="Turuncu"</x:formula>
    </x:cfRule>
    <x:cfRule type="expression" dxfId="4" priority="5">
      <x:formula>M5="Yeşil"</x:formula>
    </x:cfRule>
  </x:conditionalFormatting>
  <x:dataValidations count="5">
    <x:dataValidation operator="between" sqref="A5:A203">
      <x:formula1>1</x:formula1>
      <x:formula2>9999</x:formula2>
    </x:dataValidation>
    <x:dataValidation type="list" sqref="C5:C203">
      <x:formula1>"1. Sınıf,2. Sınıf,3. Sınıf,4. Sınıf,5. Sınıf,6. Sınıf,7. Sınıf,8. Sınıf,9. Sınıf,10. Sınıf,11. Sınıf,12. Sınıf"</x:formula1>
    </x:dataValidation>
    <x:dataValidation type="list" sqref="D5:D203">
      <x:formula1>"Matematik,Fen Bilimleri,Fizik,Kimya,Biyoloji,Türkçe,Diğer"</x:formula1>
    </x:dataValidation>
    <x:dataValidation type="list" sqref="I5:I203">
      <x:formula1>"Temel,Orta,İleri"</x:formula1>
    </x:dataValidation>
    <x:dataValidation type="list" sqref="J5:J203">
      <x:formula1>"Aktif,Donduruldu,Bıraktı"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dede58030b49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3" hidden="0" customWidth="1"/>
    <x:col min="4" max="4" width="13" hidden="0" customWidth="1"/>
    <x:col min="5" max="5" width="17" hidden="0" customWidth="1"/>
    <x:col min="6" max="6" width="27" hidden="0" customWidth="1"/>
    <x:col min="7" max="7" width="12" hidden="0" customWidth="1"/>
    <x:col min="8" max="8" width="11" hidden="0" customWidth="1"/>
    <x:col min="9" max="9" width="11" hidden="0" customWidth="1"/>
    <x:col min="10" max="10" width="12" hidden="0" customWidth="1"/>
    <x:col min="11" max="11" width="29" hidden="0" customWidth="1"/>
    <x:col min="12" max="12" width="18" hidden="0" customWidth="1"/>
    <x:col min="13" max="13" width="20" hidden="0" customWidth="1"/>
    <x:col min="14" max="14" width="19" hidden="0" customWidth="1"/>
    <x:col min="15" max="15" width="29" hidden="0" customWidth="1"/>
    <x:col min="16" max="16" width="36" hidden="0" customWidth="1"/>
    <x:col min="17" max="17" width="30" hidden="0" customWidth="1"/>
    <x:col min="18" max="18" width="20" hidden="0" customWidth="1"/>
    <x:col min="19" max="19" width="14" hidden="0" customWidth="1"/>
    <x:col min="20" max="20" width="18" hidden="0" customWidth="1"/>
    <x:col min="21" max="21" width="24" hidden="0" customWidth="1"/>
    <x:col min="22" max="22" width="20" hidden="0" customWidth="1"/>
  </x:cols>
  <x:sheetData>
    <x:row r="1" ht="26" customHeight="1">
      <x:c r="A1" s="5" t="str">
        <x:v>TEK EKRAN DERS SONU GİRİŞİ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6" customHeight="1">
      <x:c r="A2" s="13" t="str">
        <x:v>Kod alanına 1, 2, 3… yazın. Açılır kod listesi kaldırıldı; boş liste sorunu yoktur.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4">
      <x:c r="A4" s="22" t="str">
        <x:v>Tarih</x:v>
      </x:c>
      <x:c r="B4" s="22" t="str">
        <x:v>Öğrenci Kodu</x:v>
      </x:c>
      <x:c r="C4" s="22" t="str">
        <x:v>Ad Soyad</x:v>
      </x:c>
      <x:c r="D4" s="22" t="str">
        <x:v>Sınıf</x:v>
      </x:c>
      <x:c r="E4" s="22" t="str">
        <x:v>Ders</x:v>
      </x:c>
      <x:c r="F4" s="22" t="str">
        <x:v>İşlenen Konu</x:v>
      </x:c>
      <x:c r="G4" s="22" t="str">
        <x:v>Soru Sayısı</x:v>
      </x:c>
      <x:c r="H4" s="22" t="str">
        <x:v>Doğru</x:v>
      </x:c>
      <x:c r="I4" s="22" t="str">
        <x:v>Yanlış</x:v>
      </x:c>
      <x:c r="J4" s="22" t="str">
        <x:v>Başarı %</x:v>
      </x:c>
      <x:c r="K4" s="22" t="str">
        <x:v>Verilen Ödev</x:v>
      </x:c>
      <x:c r="L4" s="22" t="str">
        <x:v>Ödev Son Tarihi</x:v>
      </x:c>
      <x:c r="M4" s="22" t="str">
        <x:v>Önceki Ödev Durumu</x:v>
      </x:c>
      <x:c r="N4" s="22" t="str">
        <x:v>Konu Durumu</x:v>
      </x:c>
      <x:c r="O4" s="22" t="str">
        <x:v>Standart Ders Notu</x:v>
      </x:c>
      <x:c r="P4" s="22" t="str">
        <x:v>Özel Öğretmen Notu</x:v>
      </x:c>
      <x:c r="Q4" s="22" t="str">
        <x:v>Sonraki Ders Hedefi</x:v>
      </x:c>
      <x:c r="R4" s="22" t="str">
        <x:v>Veli Bilgilendirme</x:v>
      </x:c>
      <x:c r="S4" s="22" t="str">
        <x:v>Ders Süresi</x:v>
      </x:c>
      <x:c r="T4" s="22" t="str">
        <x:v>Kayıt Kaynağı</x:v>
      </x:c>
      <x:c r="U4" s="22" t="str">
        <x:v>Kayıt ID</x:v>
      </x:c>
      <x:c r="V4" s="22" t="str">
        <x:v>Kayıt Kontrolü</x:v>
      </x:c>
    </x:row>
    <x:row r="5">
      <x:c r="A5" s="40" t="n">
        <x:v>46225</x:v>
      </x:c>
      <x:c r="B5" s="44" t="n">
        <x:v>1</x:v>
      </x:c>
      <x:c r="C5" s="36" t="str">
        <x:f>IF(B5="","",IFERROR(INDEX('02_Öğrenciler'!$B$5:$B$203,MATCH(B5,'02_Öğrenciler'!$A$5:$A$203,0)),"KOD HATALI"))</x:f>
        <x:v>Ahmet Yılmaz</x:v>
      </x:c>
      <x:c r="D5" s="36" t="str">
        <x:f>IF(B5="","",IFERROR(INDEX('02_Öğrenciler'!$C$5:$C$203,MATCH(B5,'02_Öğrenciler'!$A$5:$A$203,0)),""))</x:f>
        <x:v>8. Sınıf</x:v>
      </x:c>
      <x:c r="E5" s="36" t="str">
        <x:f>IF(B5="","",IFERROR(INDEX('02_Öğrenciler'!$D$5:$D$203,MATCH(B5,'02_Öğrenciler'!$A$5:$A$203,0)),""))</x:f>
        <x:v>Matematik</x:v>
      </x:c>
      <x:c r="F5" s="30" t="str">
        <x:v>Üslü İfadeler</x:v>
      </x:c>
      <x:c r="G5" s="30" t="n">
        <x:v>30</x:v>
      </x:c>
      <x:c r="H5" s="30" t="n">
        <x:v>21</x:v>
      </x:c>
      <x:c r="I5" s="36" t="n">
        <x:f>IF(OR(G5="",H5=""),"",G5-H5)</x:f>
        <x:v>9</x:v>
      </x:c>
      <x:c r="J5" s="52" t="n">
        <x:f>IF(OR(G5="",H5=""),"",IFERROR(H5/G5,0))</x:f>
        <x:v>0.7</x:v>
      </x:c>
      <x:c r="K5" s="30" t="str">
        <x:v>Test 4 Çözülecek</x:v>
      </x:c>
      <x:c r="L5" s="40"/>
      <x:c r="M5" s="30"/>
      <x:c r="N5" s="30" t="str">
        <x:v>Soru çözülüyor</x:v>
      </x:c>
      <x:c r="O5" s="30" t="str">
        <x:v>Tekrar gerekli</x:v>
      </x:c>
      <x:c r="P5" s="30" t="str">
        <x:v>Negatif üslerde zorlandı; kural hatırlatması yapıldı</x:v>
      </x:c>
      <x:c r="Q5" s="30"/>
      <x:c r="R5" s="36" t="str">
        <x:f>IF(A5="","","Hayır")</x:f>
        <x:v>Hayır</x:v>
      </x:c>
      <x:c r="S5" s="36" t="n">
        <x:f>IF(A5="","",50)</x:f>
        <x:v>50</x:v>
      </x:c>
      <x:c r="T5" s="36" t="str">
        <x:v>Mevcut Kayıt</x:v>
      </x:c>
      <x:c r="U5" s="36" t="str">
        <x:f>IF(A5="","",TEXT(A5,"yyyymmdd")&amp;"-"&amp;B5&amp;"-"&amp;TEXT(ROW()-4,"0000"))</x:f>
        <x:v>20260722-1-0001</x:v>
      </x:c>
      <x:c r="V5" s="36" t="str">
        <x:f>IF(A5="","",IF(OR(A5&lt;DATE(2020,1,1),A5&gt;DATE(2100,12,31)),"Tarih Hatası",IF(COUNTIF('02_Öğrenciler'!$A$5:$A$203,B5)=0,"Öğrenci Kodu Hatalı",IF(OR(F5="",G5="",H5="",N5="",O5=""),"Eksik Zorunlu Alan",IF(OR(G5&lt;0,H5&lt;0,H5&gt;G5),"Soru Sayısı Hatası",IF(AND(K5&lt;&gt;"",L5="",T5&lt;&gt;"Mevcut Kayıt"),"Ödev Tarihi Eksik",IF(AND(L5&lt;&gt;"",L5&lt;A5),"Ödev Tarihi Hatası",IF(COUNTIFS($A$5:A5,A5,$B$5:B5,B5,$F$5:F5,F5)&gt;1,"Mükerrer Kayıt","Uygun"))))))))</x:f>
        <x:v>Uygun</x:v>
      </x:c>
    </x:row>
    <x:row r="6">
      <x:c r="A6" s="40" t="n">
        <x:v>46224</x:v>
      </x:c>
      <x:c r="B6" s="44" t="n">
        <x:v>2</x:v>
      </x:c>
      <x:c r="C6" s="36" t="str">
        <x:f>IF(B6="","",IFERROR(INDEX('02_Öğrenciler'!$B$5:$B$203,MATCH(B6,'02_Öğrenciler'!$A$5:$A$203,0)),"KOD HATALI"))</x:f>
        <x:v>Zeynep Kaya</x:v>
      </x:c>
      <x:c r="D6" s="36" t="str">
        <x:f>IF(B6="","",IFERROR(INDEX('02_Öğrenciler'!$C$5:$C$203,MATCH(B6,'02_Öğrenciler'!$A$5:$A$203,0)),""))</x:f>
        <x:v>8. Sınıf</x:v>
      </x:c>
      <x:c r="E6" s="36" t="str">
        <x:f>IF(B6="","",IFERROR(INDEX('02_Öğrenciler'!$D$5:$D$203,MATCH(B6,'02_Öğrenciler'!$A$5:$A$203,0)),""))</x:f>
        <x:v>Matematik</x:v>
      </x:c>
      <x:c r="F6" s="30" t="str">
        <x:v>Kareköklü İfadeler</x:v>
      </x:c>
      <x:c r="G6" s="30" t="n">
        <x:v>40</x:v>
      </x:c>
      <x:c r="H6" s="30" t="n">
        <x:v>36</x:v>
      </x:c>
      <x:c r="I6" s="36" t="n">
        <x:f>IF(OR(G6="",H6=""),"",G6-H6)</x:f>
        <x:v>4</x:v>
      </x:c>
      <x:c r="J6" s="52" t="n">
        <x:f>IF(OR(G6="",H6=""),"",IFERROR(H6/G6,0))</x:f>
        <x:v>0.9</x:v>
      </x:c>
      <x:c r="K6" s="30" t="str">
        <x:v>Fasikül Sayfa 50-55</x:v>
      </x:c>
      <x:c r="L6" s="40"/>
      <x:c r="M6" s="30"/>
      <x:c r="N6" s="30" t="str">
        <x:v>Tamamlandı</x:v>
      </x:c>
      <x:c r="O6" s="30" t="str">
        <x:v>Konuyu öğrendi</x:v>
      </x:c>
      <x:c r="P6" s="30" t="str">
        <x:v>Çok hızlı çözüyor</x:v>
      </x:c>
      <x:c r="Q6" s="30"/>
      <x:c r="R6" s="36" t="str">
        <x:f>IF(A6="","","Hayır")</x:f>
        <x:v>Hayır</x:v>
      </x:c>
      <x:c r="S6" s="36" t="n">
        <x:f>IF(A6="","",50)</x:f>
        <x:v>50</x:v>
      </x:c>
      <x:c r="T6" s="36" t="str">
        <x:v>Mevcut Kayıt</x:v>
      </x:c>
      <x:c r="U6" s="36" t="str">
        <x:f>IF(A6="","",TEXT(A6,"yyyymmdd")&amp;"-"&amp;B6&amp;"-"&amp;TEXT(ROW()-4,"0000"))</x:f>
        <x:v>20260721-2-0002</x:v>
      </x:c>
      <x:c r="V6" s="36" t="str">
        <x:f>IF(A6="","",IF(OR(A6&lt;DATE(2020,1,1),A6&gt;DATE(2100,12,31)),"Tarih Hatası",IF(COUNTIF('02_Öğrenciler'!$A$5:$A$203,B6)=0,"Öğrenci Kodu Hatalı",IF(OR(F6="",G6="",H6="",N6="",O6=""),"Eksik Zorunlu Alan",IF(OR(G6&lt;0,H6&lt;0,H6&gt;G6),"Soru Sayısı Hatası",IF(AND(K6&lt;&gt;"",L6="",T6&lt;&gt;"Mevcut Kayıt"),"Ödev Tarihi Eksik",IF(AND(L6&lt;&gt;"",L6&lt;A6),"Ödev Tarihi Hatası",IF(COUNTIFS($A$5:A6,A6,$B$5:B6,B6,$F$5:F6,F6)&gt;1,"Mükerrer Kayıt","Uygun"))))))))</x:f>
        <x:v>Uygun</x:v>
      </x:c>
    </x:row>
    <x:row r="7">
      <x:c r="A7" s="40" t="n">
        <x:v>46223</x:v>
      </x:c>
      <x:c r="B7" s="44" t="n">
        <x:v>3</x:v>
      </x:c>
      <x:c r="C7" s="36" t="str">
        <x:f>IF(B7="","",IFERROR(INDEX('02_Öğrenciler'!$B$5:$B$203,MATCH(B7,'02_Öğrenciler'!$A$5:$A$203,0)),"KOD HATALI"))</x:f>
        <x:v>Mehmet Demir</x:v>
      </x:c>
      <x:c r="D7" s="36" t="str">
        <x:f>IF(B7="","",IFERROR(INDEX('02_Öğrenciler'!$C$5:$C$203,MATCH(B7,'02_Öğrenciler'!$A$5:$A$203,0)),""))</x:f>
        <x:v>7. Sınıf</x:v>
      </x:c>
      <x:c r="E7" s="36" t="str">
        <x:f>IF(B7="","",IFERROR(INDEX('02_Öğrenciler'!$D$5:$D$203,MATCH(B7,'02_Öğrenciler'!$A$5:$A$203,0)),""))</x:f>
        <x:v>Matematik</x:v>
      </x:c>
      <x:c r="F7" s="30" t="str">
        <x:v>Çarpanlar ve Katlar</x:v>
      </x:c>
      <x:c r="G7" s="30" t="n">
        <x:v>25</x:v>
      </x:c>
      <x:c r="H7" s="30" t="n">
        <x:v>15</x:v>
      </x:c>
      <x:c r="I7" s="36" t="n">
        <x:f>IF(OR(G7="",H7=""),"",G7-H7)</x:f>
        <x:v>10</x:v>
      </x:c>
      <x:c r="J7" s="52" t="n">
        <x:f>IF(OR(G7="",H7=""),"",IFERROR(H7/G7,0))</x:f>
        <x:v>0.6</x:v>
      </x:c>
      <x:c r="K7" s="30" t="str">
        <x:v>2 Test Çözülecek</x:v>
      </x:c>
      <x:c r="L7" s="40"/>
      <x:c r="M7" s="30"/>
      <x:c r="N7" s="30" t="str">
        <x:v>Tekrar gerekli</x:v>
      </x:c>
      <x:c r="O7" s="30" t="str">
        <x:v>İşlem hatası fazla</x:v>
      </x:c>
      <x:c r="P7" s="30" t="str">
        <x:v>EBOB-EKOK karıştırıyor</x:v>
      </x:c>
      <x:c r="Q7" s="30"/>
      <x:c r="R7" s="36" t="str">
        <x:f>IF(A7="","","Hayır")</x:f>
        <x:v>Hayır</x:v>
      </x:c>
      <x:c r="S7" s="36" t="n">
        <x:f>IF(A7="","",50)</x:f>
        <x:v>50</x:v>
      </x:c>
      <x:c r="T7" s="36" t="str">
        <x:v>Mevcut Kayıt</x:v>
      </x:c>
      <x:c r="U7" s="36" t="str">
        <x:f>IF(A7="","",TEXT(A7,"yyyymmdd")&amp;"-"&amp;B7&amp;"-"&amp;TEXT(ROW()-4,"0000"))</x:f>
        <x:v>20260720-3-0003</x:v>
      </x:c>
      <x:c r="V7" s="36" t="str">
        <x:f>IF(A7="","",IF(OR(A7&lt;DATE(2020,1,1),A7&gt;DATE(2100,12,31)),"Tarih Hatası",IF(COUNTIF('02_Öğrenciler'!$A$5:$A$203,B7)=0,"Öğrenci Kodu Hatalı",IF(OR(F7="",G7="",H7="",N7="",O7=""),"Eksik Zorunlu Alan",IF(OR(G7&lt;0,H7&lt;0,H7&gt;G7),"Soru Sayısı Hatası",IF(AND(K7&lt;&gt;"",L7="",T7&lt;&gt;"Mevcut Kayıt"),"Ödev Tarihi Eksik",IF(AND(L7&lt;&gt;"",L7&lt;A7),"Ödev Tarihi Hatası",IF(COUNTIFS($A$5:A7,A7,$B$5:B7,B7,$F$5:F7,F7)&gt;1,"Mükerrer Kayıt","Uygun"))))))))</x:f>
        <x:v>Uygun</x:v>
      </x:c>
    </x:row>
    <x:row r="8">
      <x:c r="A8" s="40" t="n">
        <x:v>46222</x:v>
      </x:c>
      <x:c r="B8" s="44" t="n">
        <x:v>4</x:v>
      </x:c>
      <x:c r="C8" s="36" t="str">
        <x:f>IF(B8="","",IFERROR(INDEX('02_Öğrenciler'!$B$5:$B$203,MATCH(B8,'02_Öğrenciler'!$A$5:$A$203,0)),"KOD HATALI"))</x:f>
        <x:v>Elif Şahin</x:v>
      </x:c>
      <x:c r="D8" s="36" t="str">
        <x:f>IF(B8="","",IFERROR(INDEX('02_Öğrenciler'!$C$5:$C$203,MATCH(B8,'02_Öğrenciler'!$A$5:$A$203,0)),""))</x:f>
        <x:v>8. Sınıf</x:v>
      </x:c>
      <x:c r="E8" s="36" t="str">
        <x:f>IF(B8="","",IFERROR(INDEX('02_Öğrenciler'!$D$5:$D$203,MATCH(B8,'02_Öğrenciler'!$A$5:$A$203,0)),""))</x:f>
        <x:v>Matematik</x:v>
      </x:c>
      <x:c r="F8" s="30" t="str">
        <x:v>Veri Analizi</x:v>
      </x:c>
      <x:c r="G8" s="30" t="n">
        <x:v>30</x:v>
      </x:c>
      <x:c r="H8" s="30" t="n">
        <x:v>22</x:v>
      </x:c>
      <x:c r="I8" s="36" t="n">
        <x:f>IF(OR(G8="",H8=""),"",G8-H8)</x:f>
        <x:v>8</x:v>
      </x:c>
      <x:c r="J8" s="52" t="n">
        <x:f>IF(OR(G8="",H8=""),"",IFERROR(H8/G8,0))</x:f>
        <x:v>0.7333333333333333</x:v>
      </x:c>
      <x:c r="K8" s="30" t="str">
        <x:v>Grafik Soruları Test 2</x:v>
      </x:c>
      <x:c r="L8" s="40"/>
      <x:c r="M8" s="30"/>
      <x:c r="N8" s="30" t="str">
        <x:v>Soru çözülüyor</x:v>
      </x:c>
      <x:c r="O8" s="30" t="str">
        <x:v>Yeni nesil sorularda zorlanıyor</x:v>
      </x:c>
      <x:c r="P8" s="30" t="str">
        <x:v>Paragraf tipi sorularda zorlanıyor</x:v>
      </x:c>
      <x:c r="Q8" s="30"/>
      <x:c r="R8" s="36" t="str">
        <x:f>IF(A8="","","Hayır")</x:f>
        <x:v>Hayır</x:v>
      </x:c>
      <x:c r="S8" s="36" t="n">
        <x:f>IF(A8="","",50)</x:f>
        <x:v>50</x:v>
      </x:c>
      <x:c r="T8" s="36" t="str">
        <x:v>Mevcut Kayıt</x:v>
      </x:c>
      <x:c r="U8" s="36" t="str">
        <x:f>IF(A8="","",TEXT(A8,"yyyymmdd")&amp;"-"&amp;B8&amp;"-"&amp;TEXT(ROW()-4,"0000"))</x:f>
        <x:v>20260719-4-0004</x:v>
      </x:c>
      <x:c r="V8" s="36" t="str">
        <x:f>IF(A8="","",IF(OR(A8&lt;DATE(2020,1,1),A8&gt;DATE(2100,12,31)),"Tarih Hatası",IF(COUNTIF('02_Öğrenciler'!$A$5:$A$203,B8)=0,"Öğrenci Kodu Hatalı",IF(OR(F8="",G8="",H8="",N8="",O8=""),"Eksik Zorunlu Alan",IF(OR(G8&lt;0,H8&lt;0,H8&gt;G8),"Soru Sayısı Hatası",IF(AND(K8&lt;&gt;"",L8="",T8&lt;&gt;"Mevcut Kayıt"),"Ödev Tarihi Eksik",IF(AND(L8&lt;&gt;"",L8&lt;A8),"Ödev Tarihi Hatası",IF(COUNTIFS($A$5:A8,A8,$B$5:B8,B8,$F$5:F8,F8)&gt;1,"Mükerrer Kayıt","Uygun"))))))))</x:f>
        <x:v>Uygun</x:v>
      </x:c>
    </x:row>
    <x:row r="9">
      <x:c r="A9" s="40" t="n">
        <x:v>46221</x:v>
      </x:c>
      <x:c r="B9" s="44" t="n">
        <x:v>5</x:v>
      </x:c>
      <x:c r="C9" s="36" t="str">
        <x:f>IF(B9="","",IFERROR(INDEX('02_Öğrenciler'!$B$5:$B$203,MATCH(B9,'02_Öğrenciler'!$A$5:$A$203,0)),"KOD HATALI"))</x:f>
        <x:v>Can Öztürk</x:v>
      </x:c>
      <x:c r="D9" s="36" t="str">
        <x:f>IF(B9="","",IFERROR(INDEX('02_Öğrenciler'!$C$5:$C$203,MATCH(B9,'02_Öğrenciler'!$A$5:$A$203,0)),""))</x:f>
        <x:v>8. Sınıf</x:v>
      </x:c>
      <x:c r="E9" s="36" t="str">
        <x:f>IF(B9="","",IFERROR(INDEX('02_Öğrenciler'!$D$5:$D$203,MATCH(B9,'02_Öğrenciler'!$A$5:$A$203,0)),""))</x:f>
        <x:v>Matematik</x:v>
      </x:c>
      <x:c r="F9" s="30" t="str">
        <x:v>Olasılık</x:v>
      </x:c>
      <x:c r="G9" s="30" t="n">
        <x:v>35</x:v>
      </x:c>
      <x:c r="H9" s="30" t="n">
        <x:v>31</x:v>
      </x:c>
      <x:c r="I9" s="36" t="n">
        <x:f>IF(OR(G9="",H9=""),"",G9-H9)</x:f>
        <x:v>4</x:v>
      </x:c>
      <x:c r="J9" s="52" t="n">
        <x:f>IF(OR(G9="",H9=""),"",IFERROR(H9/G9,0))</x:f>
        <x:v>0.8857142857142857</x:v>
      </x:c>
      <x:c r="K9" s="30" t="str">
        <x:v>MEB Örnek Sorular</x:v>
      </x:c>
      <x:c r="L9" s="40"/>
      <x:c r="M9" s="30"/>
      <x:c r="N9" s="30" t="str">
        <x:v>Tamamlandı</x:v>
      </x:c>
      <x:c r="O9" s="30" t="str">
        <x:v>Konuyu öğrendi</x:v>
      </x:c>
      <x:c r="P9" s="30" t="str">
        <x:v>Performansı yüksek</x:v>
      </x:c>
      <x:c r="Q9" s="30"/>
      <x:c r="R9" s="36" t="str">
        <x:f>IF(A9="","","Hayır")</x:f>
        <x:v>Hayır</x:v>
      </x:c>
      <x:c r="S9" s="36" t="n">
        <x:f>IF(A9="","",50)</x:f>
        <x:v>50</x:v>
      </x:c>
      <x:c r="T9" s="36" t="str">
        <x:v>Mevcut Kayıt</x:v>
      </x:c>
      <x:c r="U9" s="36" t="str">
        <x:f>IF(A9="","",TEXT(A9,"yyyymmdd")&amp;"-"&amp;B9&amp;"-"&amp;TEXT(ROW()-4,"0000"))</x:f>
        <x:v>20260718-5-0005</x:v>
      </x:c>
      <x:c r="V9" s="36" t="str">
        <x:f>IF(A9="","",IF(OR(A9&lt;DATE(2020,1,1),A9&gt;DATE(2100,12,31)),"Tarih Hatası",IF(COUNTIF('02_Öğrenciler'!$A$5:$A$203,B9)=0,"Öğrenci Kodu Hatalı",IF(OR(F9="",G9="",H9="",N9="",O9=""),"Eksik Zorunlu Alan",IF(OR(G9&lt;0,H9&lt;0,H9&gt;G9),"Soru Sayısı Hatası",IF(AND(K9&lt;&gt;"",L9="",T9&lt;&gt;"Mevcut Kayıt"),"Ödev Tarihi Eksik",IF(AND(L9&lt;&gt;"",L9&lt;A9),"Ödev Tarihi Hatası",IF(COUNTIFS($A$5:A9,A9,$B$5:B9,B9,$F$5:F9,F9)&gt;1,"Mükerrer Kayıt","Uygun"))))))))</x:f>
        <x:v>Uygun</x:v>
      </x:c>
    </x:row>
    <x:row r="10">
      <x:c r="A10" s="40"/>
      <x:c r="B10" s="44"/>
      <x:c r="C10" s="36" t="str">
        <x:f>IF(B10="","",IFERROR(INDEX('02_Öğrenciler'!$B$5:$B$203,MATCH(B10,'02_Öğrenciler'!$A$5:$A$203,0)),"KOD HATALI"))</x:f>
      </x:c>
      <x:c r="D10" s="36" t="str">
        <x:f>IF(B10="","",IFERROR(INDEX('02_Öğrenciler'!$C$5:$C$203,MATCH(B10,'02_Öğrenciler'!$A$5:$A$203,0)),""))</x:f>
      </x:c>
      <x:c r="E10" s="36" t="str">
        <x:f>IF(B10="","",IFERROR(INDEX('02_Öğrenciler'!$D$5:$D$203,MATCH(B10,'02_Öğrenciler'!$A$5:$A$203,0)),""))</x:f>
      </x:c>
      <x:c r="F10" s="30"/>
      <x:c r="G10" s="30"/>
      <x:c r="H10" s="30"/>
      <x:c r="I10" s="36" t="str">
        <x:f>IF(OR(G10="",H10=""),"",G10-H10)</x:f>
      </x:c>
      <x:c r="J10" s="52" t="str">
        <x:f>IF(OR(G10="",H10=""),"",IFERROR(H10/G10,0))</x:f>
      </x:c>
      <x:c r="K10" s="30"/>
      <x:c r="L10" s="40"/>
      <x:c r="M10" s="30"/>
      <x:c r="N10" s="30"/>
      <x:c r="O10" s="30"/>
      <x:c r="P10" s="30"/>
      <x:c r="Q10" s="30"/>
      <x:c r="R10" s="36" t="str">
        <x:f>IF(A10="","","Hayır")</x:f>
      </x:c>
      <x:c r="S10" s="36" t="str">
        <x:f>IF(A10="","",50)</x:f>
      </x:c>
      <x:c r="T10" s="36" t="str">
        <x:f>IF(A10="","","Excel Girişi")</x:f>
      </x:c>
      <x:c r="U10" s="36" t="str">
        <x:f>IF(A10="","",TEXT(A10,"yyyymmdd")&amp;"-"&amp;B10&amp;"-"&amp;TEXT(ROW()-4,"0000"))</x:f>
      </x:c>
      <x:c r="V10" s="36" t="str">
        <x:f>IF(A10="","",IF(OR(A10&lt;DATE(2020,1,1),A10&gt;DATE(2100,12,31)),"Tarih Hatası",IF(COUNTIF('02_Öğrenciler'!$A$5:$A$203,B10)=0,"Öğrenci Kodu Hatalı",IF(OR(F10="",G10="",H10="",N10="",O10=""),"Eksik Zorunlu Alan",IF(OR(G10&lt;0,H10&lt;0,H10&gt;G10),"Soru Sayısı Hatası",IF(AND(K10&lt;&gt;"",L10="",T10&lt;&gt;"Mevcut Kayıt"),"Ödev Tarihi Eksik",IF(AND(L10&lt;&gt;"",L10&lt;A10),"Ödev Tarihi Hatası",IF(COUNTIFS($A$5:A10,A10,$B$5:B10,B10,$F$5:F10,F10)&gt;1,"Mükerrer Kayıt","Uygun"))))))))</x:f>
      </x:c>
    </x:row>
    <x:row r="11">
      <x:c r="A11" s="41"/>
      <x:c r="B11" s="45"/>
      <x:c r="J11" s="53"/>
      <x:c r="L11" s="41"/>
    </x:row>
    <x:row r="12">
      <x:c r="A12" s="41"/>
      <x:c r="B12" s="45"/>
      <x:c r="J12" s="53"/>
      <x:c r="L12" s="41"/>
    </x:row>
    <x:row r="13">
      <x:c r="A13" s="41"/>
      <x:c r="B13" s="45"/>
      <x:c r="J13" s="53"/>
      <x:c r="L13" s="41"/>
    </x:row>
    <x:row r="14">
      <x:c r="A14" s="41"/>
      <x:c r="B14" s="45"/>
      <x:c r="J14" s="53"/>
      <x:c r="L14" s="41"/>
    </x:row>
    <x:row r="15">
      <x:c r="A15" s="41"/>
      <x:c r="B15" s="45"/>
      <x:c r="J15" s="53"/>
      <x:c r="L15" s="41"/>
    </x:row>
    <x:row r="16">
      <x:c r="A16" s="41"/>
      <x:c r="B16" s="45"/>
      <x:c r="J16" s="53"/>
      <x:c r="L16" s="41"/>
    </x:row>
    <x:row r="17">
      <x:c r="A17" s="41"/>
      <x:c r="B17" s="45"/>
      <x:c r="J17" s="53"/>
      <x:c r="L17" s="41"/>
    </x:row>
    <x:row r="18">
      <x:c r="A18" s="41"/>
      <x:c r="B18" s="45"/>
      <x:c r="J18" s="53"/>
      <x:c r="L18" s="41"/>
    </x:row>
    <x:row r="19">
      <x:c r="A19" s="41"/>
      <x:c r="B19" s="45"/>
      <x:c r="J19" s="53"/>
      <x:c r="L19" s="41"/>
    </x:row>
    <x:row r="20">
      <x:c r="A20" s="41"/>
      <x:c r="B20" s="45"/>
      <x:c r="J20" s="53"/>
      <x:c r="L20" s="41"/>
    </x:row>
    <x:row r="21">
      <x:c r="A21" s="41"/>
      <x:c r="B21" s="45"/>
      <x:c r="J21" s="53"/>
      <x:c r="L21" s="41"/>
    </x:row>
    <x:row r="22">
      <x:c r="A22" s="41"/>
      <x:c r="B22" s="45"/>
      <x:c r="J22" s="53"/>
      <x:c r="L22" s="41"/>
    </x:row>
    <x:row r="23">
      <x:c r="A23" s="41"/>
      <x:c r="B23" s="45"/>
      <x:c r="J23" s="53"/>
      <x:c r="L23" s="41"/>
    </x:row>
    <x:row r="24">
      <x:c r="A24" s="41"/>
      <x:c r="B24" s="45"/>
      <x:c r="J24" s="53"/>
      <x:c r="L24" s="41"/>
    </x:row>
    <x:row r="25">
      <x:c r="A25" s="41"/>
      <x:c r="B25" s="45"/>
      <x:c r="J25" s="53"/>
      <x:c r="L25" s="41"/>
    </x:row>
    <x:row r="26">
      <x:c r="A26" s="41"/>
      <x:c r="B26" s="45"/>
      <x:c r="J26" s="53"/>
      <x:c r="L26" s="41"/>
    </x:row>
    <x:row r="27">
      <x:c r="A27" s="41"/>
      <x:c r="B27" s="45"/>
      <x:c r="J27" s="53"/>
      <x:c r="L27" s="41"/>
    </x:row>
    <x:row r="28">
      <x:c r="A28" s="41"/>
      <x:c r="B28" s="45"/>
      <x:c r="J28" s="53"/>
      <x:c r="L28" s="41"/>
    </x:row>
    <x:row r="29">
      <x:c r="A29" s="41"/>
      <x:c r="B29" s="45"/>
      <x:c r="J29" s="53"/>
      <x:c r="L29" s="41"/>
    </x:row>
    <x:row r="30">
      <x:c r="A30" s="41"/>
      <x:c r="B30" s="45"/>
      <x:c r="J30" s="53"/>
      <x:c r="L30" s="41"/>
    </x:row>
    <x:row r="31">
      <x:c r="A31" s="41"/>
      <x:c r="B31" s="45"/>
      <x:c r="J31" s="53"/>
      <x:c r="L31" s="41"/>
    </x:row>
    <x:row r="32">
      <x:c r="A32" s="41"/>
      <x:c r="B32" s="45"/>
      <x:c r="J32" s="53"/>
      <x:c r="L32" s="41"/>
    </x:row>
    <x:row r="33">
      <x:c r="A33" s="41"/>
      <x:c r="B33" s="45"/>
      <x:c r="J33" s="53"/>
      <x:c r="L33" s="41"/>
    </x:row>
    <x:row r="34">
      <x:c r="A34" s="41"/>
      <x:c r="B34" s="45"/>
      <x:c r="J34" s="53"/>
      <x:c r="L34" s="41"/>
    </x:row>
    <x:row r="35">
      <x:c r="A35" s="41"/>
      <x:c r="B35" s="45"/>
      <x:c r="J35" s="53"/>
      <x:c r="L35" s="41"/>
    </x:row>
    <x:row r="36">
      <x:c r="A36" s="41"/>
      <x:c r="B36" s="45"/>
      <x:c r="J36" s="53"/>
      <x:c r="L36" s="41"/>
    </x:row>
    <x:row r="37">
      <x:c r="A37" s="41"/>
      <x:c r="B37" s="45"/>
      <x:c r="J37" s="53"/>
      <x:c r="L37" s="41"/>
    </x:row>
    <x:row r="38">
      <x:c r="A38" s="41"/>
      <x:c r="B38" s="45"/>
      <x:c r="J38" s="53"/>
      <x:c r="L38" s="41"/>
    </x:row>
    <x:row r="39">
      <x:c r="A39" s="41"/>
      <x:c r="B39" s="45"/>
      <x:c r="J39" s="53"/>
      <x:c r="L39" s="41"/>
    </x:row>
    <x:row r="40">
      <x:c r="A40" s="41"/>
      <x:c r="B40" s="45"/>
      <x:c r="J40" s="53"/>
      <x:c r="L40" s="41"/>
    </x:row>
    <x:row r="41">
      <x:c r="A41" s="41"/>
      <x:c r="B41" s="45"/>
      <x:c r="J41" s="53"/>
      <x:c r="L41" s="41"/>
    </x:row>
    <x:row r="42">
      <x:c r="A42" s="41"/>
      <x:c r="B42" s="45"/>
      <x:c r="J42" s="53"/>
      <x:c r="L42" s="41"/>
    </x:row>
    <x:row r="43">
      <x:c r="A43" s="41"/>
      <x:c r="B43" s="45"/>
      <x:c r="J43" s="53"/>
      <x:c r="L43" s="41"/>
    </x:row>
    <x:row r="44">
      <x:c r="A44" s="41"/>
      <x:c r="B44" s="45"/>
      <x:c r="J44" s="53"/>
      <x:c r="L44" s="41"/>
    </x:row>
    <x:row r="45">
      <x:c r="A45" s="41"/>
      <x:c r="B45" s="45"/>
      <x:c r="J45" s="53"/>
      <x:c r="L45" s="41"/>
    </x:row>
    <x:row r="46">
      <x:c r="A46" s="41"/>
      <x:c r="B46" s="45"/>
      <x:c r="J46" s="53"/>
      <x:c r="L46" s="41"/>
    </x:row>
    <x:row r="47">
      <x:c r="A47" s="41"/>
      <x:c r="B47" s="45"/>
      <x:c r="J47" s="53"/>
      <x:c r="L47" s="41"/>
    </x:row>
    <x:row r="48">
      <x:c r="A48" s="41"/>
      <x:c r="B48" s="45"/>
      <x:c r="J48" s="53"/>
      <x:c r="L48" s="41"/>
    </x:row>
    <x:row r="49">
      <x:c r="A49" s="41"/>
      <x:c r="B49" s="45"/>
      <x:c r="J49" s="53"/>
      <x:c r="L49" s="41"/>
    </x:row>
    <x:row r="50">
      <x:c r="A50" s="41"/>
      <x:c r="B50" s="45"/>
      <x:c r="J50" s="53"/>
      <x:c r="L50" s="41"/>
    </x:row>
    <x:row r="51">
      <x:c r="A51" s="41"/>
      <x:c r="B51" s="45"/>
      <x:c r="J51" s="53"/>
      <x:c r="L51" s="41"/>
    </x:row>
    <x:row r="52">
      <x:c r="A52" s="41"/>
      <x:c r="B52" s="45"/>
      <x:c r="J52" s="53"/>
      <x:c r="L52" s="41"/>
    </x:row>
    <x:row r="53">
      <x:c r="A53" s="41"/>
      <x:c r="B53" s="45"/>
      <x:c r="J53" s="53"/>
      <x:c r="L53" s="41"/>
    </x:row>
    <x:row r="54">
      <x:c r="A54" s="41"/>
      <x:c r="B54" s="45"/>
      <x:c r="J54" s="53"/>
      <x:c r="L54" s="41"/>
    </x:row>
    <x:row r="55">
      <x:c r="A55" s="41"/>
      <x:c r="B55" s="45"/>
      <x:c r="J55" s="53"/>
      <x:c r="L55" s="41"/>
    </x:row>
    <x:row r="56">
      <x:c r="A56" s="41"/>
      <x:c r="B56" s="45"/>
      <x:c r="J56" s="53"/>
      <x:c r="L56" s="41"/>
    </x:row>
    <x:row r="57">
      <x:c r="A57" s="41"/>
      <x:c r="B57" s="45"/>
      <x:c r="J57" s="53"/>
      <x:c r="L57" s="41"/>
    </x:row>
    <x:row r="58">
      <x:c r="A58" s="41"/>
      <x:c r="B58" s="45"/>
      <x:c r="J58" s="53"/>
      <x:c r="L58" s="41"/>
    </x:row>
    <x:row r="59">
      <x:c r="A59" s="41"/>
      <x:c r="B59" s="45"/>
      <x:c r="J59" s="53"/>
      <x:c r="L59" s="41"/>
    </x:row>
    <x:row r="60">
      <x:c r="A60" s="41"/>
      <x:c r="B60" s="45"/>
      <x:c r="J60" s="53"/>
      <x:c r="L60" s="41"/>
    </x:row>
    <x:row r="61">
      <x:c r="A61" s="41"/>
      <x:c r="B61" s="45"/>
      <x:c r="J61" s="53"/>
      <x:c r="L61" s="41"/>
    </x:row>
    <x:row r="62">
      <x:c r="A62" s="41"/>
      <x:c r="B62" s="45"/>
      <x:c r="J62" s="53"/>
      <x:c r="L62" s="41"/>
    </x:row>
    <x:row r="63">
      <x:c r="A63" s="41"/>
      <x:c r="B63" s="45"/>
      <x:c r="J63" s="53"/>
      <x:c r="L63" s="41"/>
    </x:row>
    <x:row r="64">
      <x:c r="A64" s="41"/>
      <x:c r="B64" s="45"/>
      <x:c r="J64" s="53"/>
      <x:c r="L64" s="41"/>
    </x:row>
    <x:row r="65">
      <x:c r="A65" s="41"/>
      <x:c r="B65" s="45"/>
      <x:c r="J65" s="53"/>
      <x:c r="L65" s="41"/>
    </x:row>
    <x:row r="66">
      <x:c r="A66" s="41"/>
      <x:c r="B66" s="45"/>
      <x:c r="J66" s="53"/>
      <x:c r="L66" s="41"/>
    </x:row>
    <x:row r="67">
      <x:c r="A67" s="41"/>
      <x:c r="B67" s="45"/>
      <x:c r="J67" s="53"/>
      <x:c r="L67" s="41"/>
    </x:row>
    <x:row r="68">
      <x:c r="A68" s="41"/>
      <x:c r="B68" s="45"/>
      <x:c r="J68" s="53"/>
      <x:c r="L68" s="41"/>
    </x:row>
    <x:row r="69">
      <x:c r="A69" s="41"/>
      <x:c r="B69" s="45"/>
      <x:c r="J69" s="53"/>
      <x:c r="L69" s="41"/>
    </x:row>
    <x:row r="70">
      <x:c r="A70" s="41"/>
      <x:c r="B70" s="45"/>
      <x:c r="J70" s="53"/>
      <x:c r="L70" s="41"/>
    </x:row>
    <x:row r="71">
      <x:c r="A71" s="41"/>
      <x:c r="B71" s="45"/>
      <x:c r="J71" s="53"/>
      <x:c r="L71" s="41"/>
    </x:row>
    <x:row r="72">
      <x:c r="A72" s="41"/>
      <x:c r="B72" s="45"/>
      <x:c r="J72" s="53"/>
      <x:c r="L72" s="41"/>
    </x:row>
    <x:row r="73">
      <x:c r="A73" s="41"/>
      <x:c r="B73" s="45"/>
      <x:c r="J73" s="53"/>
      <x:c r="L73" s="41"/>
    </x:row>
    <x:row r="74">
      <x:c r="A74" s="41"/>
      <x:c r="B74" s="45"/>
      <x:c r="J74" s="53"/>
      <x:c r="L74" s="41"/>
    </x:row>
    <x:row r="75">
      <x:c r="A75" s="41"/>
      <x:c r="B75" s="45"/>
      <x:c r="J75" s="53"/>
      <x:c r="L75" s="41"/>
    </x:row>
    <x:row r="76">
      <x:c r="A76" s="41"/>
      <x:c r="B76" s="45"/>
      <x:c r="J76" s="53"/>
      <x:c r="L76" s="41"/>
    </x:row>
    <x:row r="77">
      <x:c r="A77" s="41"/>
      <x:c r="B77" s="45"/>
      <x:c r="J77" s="53"/>
      <x:c r="L77" s="41"/>
    </x:row>
    <x:row r="78">
      <x:c r="A78" s="41"/>
      <x:c r="B78" s="45"/>
      <x:c r="J78" s="53"/>
      <x:c r="L78" s="41"/>
    </x:row>
    <x:row r="79">
      <x:c r="A79" s="41"/>
      <x:c r="B79" s="45"/>
      <x:c r="J79" s="53"/>
      <x:c r="L79" s="41"/>
    </x:row>
    <x:row r="80">
      <x:c r="A80" s="41"/>
      <x:c r="B80" s="45"/>
      <x:c r="J80" s="53"/>
      <x:c r="L80" s="41"/>
    </x:row>
    <x:row r="81">
      <x:c r="A81" s="41"/>
      <x:c r="B81" s="45"/>
      <x:c r="J81" s="53"/>
      <x:c r="L81" s="41"/>
    </x:row>
    <x:row r="82">
      <x:c r="A82" s="41"/>
      <x:c r="B82" s="45"/>
      <x:c r="J82" s="53"/>
      <x:c r="L82" s="41"/>
    </x:row>
    <x:row r="83">
      <x:c r="A83" s="41"/>
      <x:c r="B83" s="45"/>
      <x:c r="J83" s="53"/>
      <x:c r="L83" s="41"/>
    </x:row>
    <x:row r="84">
      <x:c r="A84" s="41"/>
      <x:c r="B84" s="45"/>
      <x:c r="J84" s="53"/>
      <x:c r="L84" s="41"/>
    </x:row>
    <x:row r="85">
      <x:c r="A85" s="41"/>
      <x:c r="B85" s="45"/>
      <x:c r="J85" s="53"/>
      <x:c r="L85" s="41"/>
    </x:row>
    <x:row r="86">
      <x:c r="A86" s="41"/>
      <x:c r="B86" s="45"/>
      <x:c r="J86" s="53"/>
      <x:c r="L86" s="41"/>
    </x:row>
    <x:row r="87">
      <x:c r="A87" s="41"/>
      <x:c r="B87" s="45"/>
      <x:c r="J87" s="53"/>
      <x:c r="L87" s="41"/>
    </x:row>
    <x:row r="88">
      <x:c r="A88" s="41"/>
      <x:c r="B88" s="45"/>
      <x:c r="J88" s="53"/>
      <x:c r="L88" s="41"/>
    </x:row>
    <x:row r="89">
      <x:c r="A89" s="41"/>
      <x:c r="B89" s="45"/>
      <x:c r="J89" s="53"/>
      <x:c r="L89" s="41"/>
    </x:row>
    <x:row r="90">
      <x:c r="A90" s="41"/>
      <x:c r="B90" s="45"/>
      <x:c r="J90" s="53"/>
      <x:c r="L90" s="41"/>
    </x:row>
    <x:row r="91">
      <x:c r="A91" s="41"/>
      <x:c r="B91" s="45"/>
      <x:c r="J91" s="53"/>
      <x:c r="L91" s="41"/>
    </x:row>
    <x:row r="92">
      <x:c r="A92" s="41"/>
      <x:c r="B92" s="45"/>
      <x:c r="J92" s="53"/>
      <x:c r="L92" s="41"/>
    </x:row>
    <x:row r="93">
      <x:c r="A93" s="41"/>
      <x:c r="B93" s="45"/>
      <x:c r="J93" s="53"/>
      <x:c r="L93" s="41"/>
    </x:row>
    <x:row r="94">
      <x:c r="A94" s="41"/>
      <x:c r="B94" s="45"/>
      <x:c r="J94" s="53"/>
      <x:c r="L94" s="41"/>
    </x:row>
    <x:row r="95">
      <x:c r="A95" s="41"/>
      <x:c r="B95" s="45"/>
      <x:c r="J95" s="53"/>
      <x:c r="L95" s="41"/>
    </x:row>
    <x:row r="96">
      <x:c r="A96" s="41"/>
      <x:c r="B96" s="45"/>
      <x:c r="J96" s="53"/>
      <x:c r="L96" s="41"/>
    </x:row>
    <x:row r="97">
      <x:c r="A97" s="41"/>
      <x:c r="B97" s="45"/>
      <x:c r="J97" s="53"/>
      <x:c r="L97" s="41"/>
    </x:row>
    <x:row r="98">
      <x:c r="A98" s="41"/>
      <x:c r="B98" s="45"/>
      <x:c r="J98" s="53"/>
      <x:c r="L98" s="41"/>
    </x:row>
    <x:row r="99">
      <x:c r="A99" s="41"/>
      <x:c r="B99" s="45"/>
      <x:c r="J99" s="53"/>
      <x:c r="L99" s="41"/>
    </x:row>
    <x:row r="100">
      <x:c r="A100" s="41"/>
      <x:c r="B100" s="45"/>
      <x:c r="J100" s="53"/>
      <x:c r="L100" s="41"/>
    </x:row>
    <x:row r="101">
      <x:c r="A101" s="41"/>
      <x:c r="B101" s="45"/>
      <x:c r="J101" s="53"/>
      <x:c r="L101" s="41"/>
    </x:row>
    <x:row r="102">
      <x:c r="A102" s="41"/>
      <x:c r="B102" s="45"/>
      <x:c r="J102" s="53"/>
      <x:c r="L102" s="41"/>
    </x:row>
    <x:row r="103">
      <x:c r="A103" s="41"/>
      <x:c r="B103" s="45"/>
      <x:c r="J103" s="53"/>
      <x:c r="L103" s="41"/>
    </x:row>
    <x:row r="104">
      <x:c r="A104" s="41"/>
      <x:c r="B104" s="45"/>
      <x:c r="J104" s="53"/>
      <x:c r="L104" s="41"/>
    </x:row>
    <x:row r="105">
      <x:c r="A105" s="41"/>
      <x:c r="B105" s="45"/>
      <x:c r="J105" s="53"/>
      <x:c r="L105" s="41"/>
    </x:row>
    <x:row r="106">
      <x:c r="A106" s="41"/>
      <x:c r="B106" s="45"/>
      <x:c r="J106" s="53"/>
      <x:c r="L106" s="41"/>
    </x:row>
    <x:row r="107">
      <x:c r="A107" s="41"/>
      <x:c r="B107" s="45"/>
      <x:c r="J107" s="53"/>
      <x:c r="L107" s="41"/>
    </x:row>
    <x:row r="108">
      <x:c r="A108" s="41"/>
      <x:c r="B108" s="45"/>
      <x:c r="J108" s="53"/>
      <x:c r="L108" s="41"/>
    </x:row>
    <x:row r="109">
      <x:c r="A109" s="41"/>
      <x:c r="B109" s="45"/>
      <x:c r="J109" s="53"/>
      <x:c r="L109" s="41"/>
    </x:row>
    <x:row r="110">
      <x:c r="A110" s="41"/>
      <x:c r="B110" s="45"/>
      <x:c r="J110" s="53"/>
      <x:c r="L110" s="41"/>
    </x:row>
    <x:row r="111">
      <x:c r="A111" s="41"/>
      <x:c r="B111" s="45"/>
      <x:c r="J111" s="53"/>
      <x:c r="L111" s="41"/>
    </x:row>
    <x:row r="112">
      <x:c r="A112" s="41"/>
      <x:c r="B112" s="45"/>
      <x:c r="J112" s="53"/>
      <x:c r="L112" s="41"/>
    </x:row>
    <x:row r="113">
      <x:c r="A113" s="41"/>
      <x:c r="B113" s="45"/>
      <x:c r="J113" s="53"/>
      <x:c r="L113" s="41"/>
    </x:row>
    <x:row r="114">
      <x:c r="A114" s="41"/>
      <x:c r="B114" s="45"/>
      <x:c r="J114" s="53"/>
      <x:c r="L114" s="41"/>
    </x:row>
    <x:row r="115">
      <x:c r="A115" s="41"/>
      <x:c r="B115" s="45"/>
      <x:c r="J115" s="53"/>
      <x:c r="L115" s="41"/>
    </x:row>
    <x:row r="116">
      <x:c r="A116" s="41"/>
      <x:c r="B116" s="45"/>
      <x:c r="J116" s="53"/>
      <x:c r="L116" s="41"/>
    </x:row>
    <x:row r="117">
      <x:c r="A117" s="41"/>
      <x:c r="B117" s="45"/>
      <x:c r="J117" s="53"/>
      <x:c r="L117" s="41"/>
    </x:row>
    <x:row r="118">
      <x:c r="A118" s="41"/>
      <x:c r="B118" s="45"/>
      <x:c r="J118" s="53"/>
      <x:c r="L118" s="41"/>
    </x:row>
    <x:row r="119">
      <x:c r="A119" s="41"/>
      <x:c r="B119" s="45"/>
      <x:c r="J119" s="53"/>
      <x:c r="L119" s="41"/>
    </x:row>
    <x:row r="120">
      <x:c r="A120" s="41"/>
      <x:c r="B120" s="45"/>
      <x:c r="J120" s="53"/>
      <x:c r="L120" s="41"/>
    </x:row>
    <x:row r="121">
      <x:c r="A121" s="41"/>
      <x:c r="B121" s="45"/>
      <x:c r="J121" s="53"/>
      <x:c r="L121" s="41"/>
    </x:row>
    <x:row r="122">
      <x:c r="A122" s="41"/>
      <x:c r="B122" s="45"/>
      <x:c r="J122" s="53"/>
      <x:c r="L122" s="41"/>
    </x:row>
    <x:row r="123">
      <x:c r="A123" s="41"/>
      <x:c r="B123" s="45"/>
      <x:c r="J123" s="53"/>
      <x:c r="L123" s="41"/>
    </x:row>
    <x:row r="124">
      <x:c r="A124" s="41"/>
      <x:c r="B124" s="45"/>
      <x:c r="J124" s="53"/>
      <x:c r="L124" s="41"/>
    </x:row>
    <x:row r="125">
      <x:c r="A125" s="41"/>
      <x:c r="B125" s="45"/>
      <x:c r="J125" s="53"/>
      <x:c r="L125" s="41"/>
    </x:row>
    <x:row r="126">
      <x:c r="A126" s="41"/>
      <x:c r="B126" s="45"/>
      <x:c r="J126" s="53"/>
      <x:c r="L126" s="41"/>
    </x:row>
    <x:row r="127">
      <x:c r="A127" s="41"/>
      <x:c r="B127" s="45"/>
      <x:c r="J127" s="53"/>
      <x:c r="L127" s="41"/>
    </x:row>
    <x:row r="128">
      <x:c r="A128" s="41"/>
      <x:c r="B128" s="45"/>
      <x:c r="J128" s="53"/>
      <x:c r="L128" s="41"/>
    </x:row>
    <x:row r="129">
      <x:c r="A129" s="41"/>
      <x:c r="B129" s="45"/>
      <x:c r="J129" s="53"/>
      <x:c r="L129" s="41"/>
    </x:row>
    <x:row r="130">
      <x:c r="A130" s="41"/>
      <x:c r="B130" s="45"/>
      <x:c r="J130" s="53"/>
      <x:c r="L130" s="41"/>
    </x:row>
    <x:row r="131">
      <x:c r="A131" s="41"/>
      <x:c r="B131" s="45"/>
      <x:c r="J131" s="53"/>
      <x:c r="L131" s="41"/>
    </x:row>
    <x:row r="132">
      <x:c r="A132" s="41"/>
      <x:c r="B132" s="45"/>
      <x:c r="J132" s="53"/>
      <x:c r="L132" s="41"/>
    </x:row>
    <x:row r="133">
      <x:c r="A133" s="41"/>
      <x:c r="B133" s="45"/>
      <x:c r="J133" s="53"/>
      <x:c r="L133" s="41"/>
    </x:row>
    <x:row r="134">
      <x:c r="A134" s="41"/>
      <x:c r="B134" s="45"/>
      <x:c r="J134" s="53"/>
      <x:c r="L134" s="41"/>
    </x:row>
    <x:row r="135">
      <x:c r="A135" s="41"/>
      <x:c r="B135" s="45"/>
      <x:c r="J135" s="53"/>
      <x:c r="L135" s="41"/>
    </x:row>
    <x:row r="136">
      <x:c r="A136" s="41"/>
      <x:c r="B136" s="45"/>
      <x:c r="J136" s="53"/>
      <x:c r="L136" s="41"/>
    </x:row>
    <x:row r="137">
      <x:c r="A137" s="41"/>
      <x:c r="B137" s="45"/>
      <x:c r="J137" s="53"/>
      <x:c r="L137" s="41"/>
    </x:row>
    <x:row r="138">
      <x:c r="A138" s="41"/>
      <x:c r="B138" s="45"/>
      <x:c r="J138" s="53"/>
      <x:c r="L138" s="41"/>
    </x:row>
    <x:row r="139">
      <x:c r="A139" s="41"/>
      <x:c r="B139" s="45"/>
      <x:c r="J139" s="53"/>
      <x:c r="L139" s="41"/>
    </x:row>
    <x:row r="140">
      <x:c r="A140" s="41"/>
      <x:c r="B140" s="45"/>
      <x:c r="J140" s="53"/>
      <x:c r="L140" s="41"/>
    </x:row>
    <x:row r="141">
      <x:c r="A141" s="41"/>
      <x:c r="B141" s="45"/>
      <x:c r="J141" s="53"/>
      <x:c r="L141" s="41"/>
    </x:row>
    <x:row r="142">
      <x:c r="A142" s="41"/>
      <x:c r="B142" s="45"/>
      <x:c r="J142" s="53"/>
      <x:c r="L142" s="41"/>
    </x:row>
    <x:row r="143">
      <x:c r="A143" s="41"/>
      <x:c r="B143" s="45"/>
      <x:c r="J143" s="53"/>
      <x:c r="L143" s="41"/>
    </x:row>
    <x:row r="144">
      <x:c r="A144" s="41"/>
      <x:c r="B144" s="45"/>
      <x:c r="J144" s="53"/>
      <x:c r="L144" s="41"/>
    </x:row>
    <x:row r="145">
      <x:c r="A145" s="41"/>
      <x:c r="B145" s="45"/>
      <x:c r="J145" s="53"/>
      <x:c r="L145" s="41"/>
    </x:row>
    <x:row r="146">
      <x:c r="A146" s="41"/>
      <x:c r="B146" s="45"/>
      <x:c r="J146" s="53"/>
      <x:c r="L146" s="41"/>
    </x:row>
    <x:row r="147">
      <x:c r="A147" s="41"/>
      <x:c r="B147" s="45"/>
      <x:c r="J147" s="53"/>
      <x:c r="L147" s="41"/>
    </x:row>
    <x:row r="148">
      <x:c r="A148" s="41"/>
      <x:c r="B148" s="45"/>
      <x:c r="J148" s="53"/>
      <x:c r="L148" s="41"/>
    </x:row>
    <x:row r="149">
      <x:c r="A149" s="41"/>
      <x:c r="B149" s="45"/>
      <x:c r="J149" s="53"/>
      <x:c r="L149" s="41"/>
    </x:row>
    <x:row r="150">
      <x:c r="A150" s="41"/>
      <x:c r="B150" s="45"/>
      <x:c r="J150" s="53"/>
      <x:c r="L150" s="41"/>
    </x:row>
    <x:row r="151">
      <x:c r="A151" s="41"/>
      <x:c r="B151" s="45"/>
      <x:c r="J151" s="53"/>
      <x:c r="L151" s="41"/>
    </x:row>
    <x:row r="152">
      <x:c r="A152" s="41"/>
      <x:c r="B152" s="45"/>
      <x:c r="J152" s="53"/>
      <x:c r="L152" s="41"/>
    </x:row>
    <x:row r="153">
      <x:c r="A153" s="41"/>
      <x:c r="B153" s="45"/>
      <x:c r="J153" s="53"/>
      <x:c r="L153" s="41"/>
    </x:row>
    <x:row r="154">
      <x:c r="A154" s="41"/>
      <x:c r="B154" s="45"/>
      <x:c r="J154" s="53"/>
      <x:c r="L154" s="41"/>
    </x:row>
    <x:row r="155">
      <x:c r="A155" s="41"/>
      <x:c r="B155" s="45"/>
      <x:c r="J155" s="53"/>
      <x:c r="L155" s="41"/>
    </x:row>
    <x:row r="156">
      <x:c r="A156" s="41"/>
      <x:c r="B156" s="45"/>
      <x:c r="J156" s="53"/>
      <x:c r="L156" s="41"/>
    </x:row>
    <x:row r="157">
      <x:c r="A157" s="41"/>
      <x:c r="B157" s="45"/>
      <x:c r="J157" s="53"/>
      <x:c r="L157" s="41"/>
    </x:row>
    <x:row r="158">
      <x:c r="A158" s="41"/>
      <x:c r="B158" s="45"/>
      <x:c r="J158" s="53"/>
      <x:c r="L158" s="41"/>
    </x:row>
    <x:row r="159">
      <x:c r="A159" s="41"/>
      <x:c r="B159" s="45"/>
      <x:c r="J159" s="53"/>
      <x:c r="L159" s="41"/>
    </x:row>
    <x:row r="160">
      <x:c r="A160" s="41"/>
      <x:c r="B160" s="45"/>
      <x:c r="J160" s="53"/>
      <x:c r="L160" s="41"/>
    </x:row>
    <x:row r="161">
      <x:c r="A161" s="41"/>
      <x:c r="B161" s="45"/>
      <x:c r="J161" s="53"/>
      <x:c r="L161" s="41"/>
    </x:row>
    <x:row r="162">
      <x:c r="A162" s="41"/>
      <x:c r="B162" s="45"/>
      <x:c r="J162" s="53"/>
      <x:c r="L162" s="41"/>
    </x:row>
    <x:row r="163">
      <x:c r="A163" s="41"/>
      <x:c r="B163" s="45"/>
      <x:c r="J163" s="53"/>
      <x:c r="L163" s="41"/>
    </x:row>
    <x:row r="164">
      <x:c r="A164" s="41"/>
      <x:c r="B164" s="45"/>
      <x:c r="J164" s="53"/>
      <x:c r="L164" s="41"/>
    </x:row>
    <x:row r="165">
      <x:c r="A165" s="41"/>
      <x:c r="B165" s="45"/>
      <x:c r="J165" s="53"/>
      <x:c r="L165" s="41"/>
    </x:row>
    <x:row r="166">
      <x:c r="A166" s="41"/>
      <x:c r="B166" s="45"/>
      <x:c r="J166" s="53"/>
      <x:c r="L166" s="41"/>
    </x:row>
    <x:row r="167">
      <x:c r="A167" s="41"/>
      <x:c r="B167" s="45"/>
      <x:c r="J167" s="53"/>
      <x:c r="L167" s="41"/>
    </x:row>
    <x:row r="168">
      <x:c r="A168" s="41"/>
      <x:c r="B168" s="45"/>
      <x:c r="J168" s="53"/>
      <x:c r="L168" s="41"/>
    </x:row>
    <x:row r="169">
      <x:c r="A169" s="41"/>
      <x:c r="B169" s="45"/>
      <x:c r="J169" s="53"/>
      <x:c r="L169" s="41"/>
    </x:row>
    <x:row r="170">
      <x:c r="A170" s="41"/>
      <x:c r="B170" s="45"/>
      <x:c r="J170" s="53"/>
      <x:c r="L170" s="41"/>
    </x:row>
    <x:row r="171">
      <x:c r="A171" s="41"/>
      <x:c r="B171" s="45"/>
      <x:c r="J171" s="53"/>
      <x:c r="L171" s="41"/>
    </x:row>
    <x:row r="172">
      <x:c r="A172" s="41"/>
      <x:c r="B172" s="45"/>
      <x:c r="J172" s="53"/>
      <x:c r="L172" s="41"/>
    </x:row>
    <x:row r="173">
      <x:c r="A173" s="41"/>
      <x:c r="B173" s="45"/>
      <x:c r="J173" s="53"/>
      <x:c r="L173" s="41"/>
    </x:row>
    <x:row r="174">
      <x:c r="A174" s="41"/>
      <x:c r="B174" s="45"/>
      <x:c r="J174" s="53"/>
      <x:c r="L174" s="41"/>
    </x:row>
    <x:row r="175">
      <x:c r="A175" s="41"/>
      <x:c r="B175" s="45"/>
      <x:c r="J175" s="53"/>
      <x:c r="L175" s="41"/>
    </x:row>
    <x:row r="176">
      <x:c r="A176" s="41"/>
      <x:c r="B176" s="45"/>
      <x:c r="J176" s="53"/>
      <x:c r="L176" s="41"/>
    </x:row>
    <x:row r="177">
      <x:c r="A177" s="41"/>
      <x:c r="B177" s="45"/>
      <x:c r="J177" s="53"/>
      <x:c r="L177" s="41"/>
    </x:row>
    <x:row r="178">
      <x:c r="A178" s="41"/>
      <x:c r="B178" s="45"/>
      <x:c r="J178" s="53"/>
      <x:c r="L178" s="41"/>
    </x:row>
    <x:row r="179">
      <x:c r="A179" s="41"/>
      <x:c r="B179" s="45"/>
      <x:c r="J179" s="53"/>
      <x:c r="L179" s="41"/>
    </x:row>
    <x:row r="180">
      <x:c r="A180" s="41"/>
      <x:c r="B180" s="45"/>
      <x:c r="J180" s="53"/>
      <x:c r="L180" s="41"/>
    </x:row>
    <x:row r="181">
      <x:c r="A181" s="41"/>
      <x:c r="B181" s="45"/>
      <x:c r="J181" s="53"/>
      <x:c r="L181" s="41"/>
    </x:row>
    <x:row r="182">
      <x:c r="A182" s="41"/>
      <x:c r="B182" s="45"/>
      <x:c r="J182" s="53"/>
      <x:c r="L182" s="41"/>
    </x:row>
    <x:row r="183">
      <x:c r="A183" s="41"/>
      <x:c r="B183" s="45"/>
      <x:c r="J183" s="53"/>
      <x:c r="L183" s="41"/>
    </x:row>
    <x:row r="184">
      <x:c r="A184" s="41"/>
      <x:c r="B184" s="45"/>
      <x:c r="J184" s="53"/>
      <x:c r="L184" s="41"/>
    </x:row>
    <x:row r="185">
      <x:c r="A185" s="41"/>
      <x:c r="B185" s="45"/>
      <x:c r="J185" s="53"/>
      <x:c r="L185" s="41"/>
    </x:row>
    <x:row r="186">
      <x:c r="A186" s="41"/>
      <x:c r="B186" s="45"/>
      <x:c r="J186" s="53"/>
      <x:c r="L186" s="41"/>
    </x:row>
    <x:row r="187">
      <x:c r="A187" s="41"/>
      <x:c r="B187" s="45"/>
      <x:c r="J187" s="53"/>
      <x:c r="L187" s="41"/>
    </x:row>
    <x:row r="188">
      <x:c r="A188" s="41"/>
      <x:c r="B188" s="45"/>
      <x:c r="J188" s="53"/>
      <x:c r="L188" s="41"/>
    </x:row>
    <x:row r="189">
      <x:c r="A189" s="41"/>
      <x:c r="B189" s="45"/>
      <x:c r="J189" s="53"/>
      <x:c r="L189" s="41"/>
    </x:row>
    <x:row r="190">
      <x:c r="A190" s="41"/>
      <x:c r="B190" s="45"/>
      <x:c r="J190" s="53"/>
      <x:c r="L190" s="41"/>
    </x:row>
    <x:row r="191">
      <x:c r="A191" s="41"/>
      <x:c r="B191" s="45"/>
      <x:c r="J191" s="53"/>
      <x:c r="L191" s="41"/>
    </x:row>
    <x:row r="192">
      <x:c r="A192" s="41"/>
      <x:c r="B192" s="45"/>
      <x:c r="J192" s="53"/>
      <x:c r="L192" s="41"/>
    </x:row>
    <x:row r="193">
      <x:c r="A193" s="41"/>
      <x:c r="B193" s="45"/>
      <x:c r="J193" s="53"/>
      <x:c r="L193" s="41"/>
    </x:row>
    <x:row r="194">
      <x:c r="A194" s="41"/>
      <x:c r="B194" s="45"/>
      <x:c r="J194" s="53"/>
      <x:c r="L194" s="41"/>
    </x:row>
    <x:row r="195">
      <x:c r="A195" s="41"/>
      <x:c r="B195" s="45"/>
      <x:c r="J195" s="53"/>
      <x:c r="L195" s="41"/>
    </x:row>
    <x:row r="196">
      <x:c r="A196" s="41"/>
      <x:c r="B196" s="45"/>
      <x:c r="J196" s="53"/>
      <x:c r="L196" s="41"/>
    </x:row>
    <x:row r="197">
      <x:c r="A197" s="41"/>
      <x:c r="B197" s="45"/>
      <x:c r="J197" s="53"/>
      <x:c r="L197" s="41"/>
    </x:row>
    <x:row r="198">
      <x:c r="A198" s="41"/>
      <x:c r="B198" s="45"/>
      <x:c r="J198" s="53"/>
      <x:c r="L198" s="41"/>
    </x:row>
    <x:row r="199">
      <x:c r="A199" s="41"/>
      <x:c r="B199" s="45"/>
      <x:c r="J199" s="53"/>
      <x:c r="L199" s="41"/>
    </x:row>
    <x:row r="200">
      <x:c r="A200" s="41"/>
      <x:c r="B200" s="45"/>
      <x:c r="J200" s="53"/>
      <x:c r="L200" s="41"/>
    </x:row>
    <x:row r="201">
      <x:c r="A201" s="41"/>
      <x:c r="B201" s="45"/>
      <x:c r="J201" s="53"/>
      <x:c r="L201" s="41"/>
    </x:row>
    <x:row r="202">
      <x:c r="A202" s="41"/>
      <x:c r="B202" s="45"/>
      <x:c r="J202" s="53"/>
      <x:c r="L202" s="41"/>
    </x:row>
    <x:row r="203">
      <x:c r="A203" s="41"/>
      <x:c r="B203" s="45"/>
      <x:c r="J203" s="53"/>
      <x:c r="L203" s="41"/>
    </x:row>
    <x:row r="204">
      <x:c r="A204" s="41"/>
      <x:c r="B204" s="45"/>
      <x:c r="J204" s="53"/>
      <x:c r="L204" s="41"/>
    </x:row>
    <x:row r="205">
      <x:c r="A205" s="41"/>
      <x:c r="B205" s="45"/>
      <x:c r="J205" s="53"/>
      <x:c r="L205" s="41"/>
    </x:row>
    <x:row r="206">
      <x:c r="A206" s="41"/>
      <x:c r="B206" s="45"/>
      <x:c r="J206" s="53"/>
      <x:c r="L206" s="41"/>
    </x:row>
    <x:row r="207">
      <x:c r="A207" s="41"/>
      <x:c r="B207" s="45"/>
      <x:c r="J207" s="53"/>
      <x:c r="L207" s="41"/>
    </x:row>
    <x:row r="208">
      <x:c r="A208" s="41"/>
      <x:c r="B208" s="45"/>
      <x:c r="J208" s="53"/>
      <x:c r="L208" s="41"/>
    </x:row>
    <x:row r="209">
      <x:c r="A209" s="41"/>
      <x:c r="B209" s="45"/>
      <x:c r="J209" s="53"/>
      <x:c r="L209" s="41"/>
    </x:row>
    <x:row r="210">
      <x:c r="A210" s="41"/>
      <x:c r="B210" s="45"/>
      <x:c r="J210" s="53"/>
      <x:c r="L210" s="41"/>
    </x:row>
    <x:row r="211">
      <x:c r="A211" s="41"/>
      <x:c r="B211" s="45"/>
      <x:c r="J211" s="53"/>
      <x:c r="L211" s="41"/>
    </x:row>
    <x:row r="212">
      <x:c r="A212" s="41"/>
      <x:c r="B212" s="45"/>
      <x:c r="J212" s="53"/>
      <x:c r="L212" s="41"/>
    </x:row>
    <x:row r="213">
      <x:c r="A213" s="41"/>
      <x:c r="B213" s="45"/>
      <x:c r="J213" s="53"/>
      <x:c r="L213" s="41"/>
    </x:row>
    <x:row r="214">
      <x:c r="A214" s="41"/>
      <x:c r="B214" s="45"/>
      <x:c r="J214" s="53"/>
      <x:c r="L214" s="41"/>
    </x:row>
    <x:row r="215">
      <x:c r="A215" s="41"/>
      <x:c r="B215" s="45"/>
      <x:c r="J215" s="53"/>
      <x:c r="L215" s="41"/>
    </x:row>
    <x:row r="216">
      <x:c r="A216" s="41"/>
      <x:c r="B216" s="45"/>
      <x:c r="J216" s="53"/>
      <x:c r="L216" s="41"/>
    </x:row>
    <x:row r="217">
      <x:c r="A217" s="41"/>
      <x:c r="B217" s="45"/>
      <x:c r="J217" s="53"/>
      <x:c r="L217" s="41"/>
    </x:row>
    <x:row r="218">
      <x:c r="A218" s="41"/>
      <x:c r="B218" s="45"/>
      <x:c r="J218" s="53"/>
      <x:c r="L218" s="41"/>
    </x:row>
    <x:row r="219">
      <x:c r="A219" s="41"/>
      <x:c r="B219" s="45"/>
      <x:c r="J219" s="53"/>
      <x:c r="L219" s="41"/>
    </x:row>
    <x:row r="220">
      <x:c r="A220" s="41"/>
      <x:c r="B220" s="45"/>
      <x:c r="J220" s="53"/>
      <x:c r="L220" s="41"/>
    </x:row>
    <x:row r="221">
      <x:c r="A221" s="41"/>
      <x:c r="B221" s="45"/>
      <x:c r="J221" s="53"/>
      <x:c r="L221" s="41"/>
    </x:row>
    <x:row r="222">
      <x:c r="A222" s="41"/>
      <x:c r="B222" s="45"/>
      <x:c r="J222" s="53"/>
      <x:c r="L222" s="41"/>
    </x:row>
    <x:row r="223">
      <x:c r="A223" s="41"/>
      <x:c r="B223" s="45"/>
      <x:c r="J223" s="53"/>
      <x:c r="L223" s="41"/>
    </x:row>
    <x:row r="224">
      <x:c r="A224" s="41"/>
      <x:c r="B224" s="45"/>
      <x:c r="J224" s="53"/>
      <x:c r="L224" s="41"/>
    </x:row>
    <x:row r="225">
      <x:c r="A225" s="41"/>
      <x:c r="B225" s="45"/>
      <x:c r="J225" s="53"/>
      <x:c r="L225" s="41"/>
    </x:row>
    <x:row r="226">
      <x:c r="A226" s="41"/>
      <x:c r="B226" s="45"/>
      <x:c r="J226" s="53"/>
      <x:c r="L226" s="41"/>
    </x:row>
    <x:row r="227">
      <x:c r="A227" s="41"/>
      <x:c r="B227" s="45"/>
      <x:c r="J227" s="53"/>
      <x:c r="L227" s="41"/>
    </x:row>
    <x:row r="228">
      <x:c r="A228" s="41"/>
      <x:c r="B228" s="45"/>
      <x:c r="J228" s="53"/>
      <x:c r="L228" s="41"/>
    </x:row>
    <x:row r="229">
      <x:c r="A229" s="41"/>
      <x:c r="B229" s="45"/>
      <x:c r="J229" s="53"/>
      <x:c r="L229" s="41"/>
    </x:row>
    <x:row r="230">
      <x:c r="A230" s="41"/>
      <x:c r="B230" s="45"/>
      <x:c r="J230" s="53"/>
      <x:c r="L230" s="41"/>
    </x:row>
    <x:row r="231">
      <x:c r="A231" s="41"/>
      <x:c r="B231" s="45"/>
      <x:c r="J231" s="53"/>
      <x:c r="L231" s="41"/>
    </x:row>
    <x:row r="232">
      <x:c r="A232" s="41"/>
      <x:c r="B232" s="45"/>
      <x:c r="J232" s="53"/>
      <x:c r="L232" s="41"/>
    </x:row>
    <x:row r="233">
      <x:c r="A233" s="41"/>
      <x:c r="B233" s="45"/>
      <x:c r="J233" s="53"/>
      <x:c r="L233" s="41"/>
    </x:row>
    <x:row r="234">
      <x:c r="A234" s="41"/>
      <x:c r="B234" s="45"/>
      <x:c r="J234" s="53"/>
      <x:c r="L234" s="41"/>
    </x:row>
    <x:row r="235">
      <x:c r="A235" s="41"/>
      <x:c r="B235" s="45"/>
      <x:c r="J235" s="53"/>
      <x:c r="L235" s="41"/>
    </x:row>
    <x:row r="236">
      <x:c r="A236" s="41"/>
      <x:c r="B236" s="45"/>
      <x:c r="J236" s="53"/>
      <x:c r="L236" s="41"/>
    </x:row>
    <x:row r="237">
      <x:c r="A237" s="41"/>
      <x:c r="B237" s="45"/>
      <x:c r="J237" s="53"/>
      <x:c r="L237" s="41"/>
    </x:row>
    <x:row r="238">
      <x:c r="A238" s="41"/>
      <x:c r="B238" s="45"/>
      <x:c r="J238" s="53"/>
      <x:c r="L238" s="41"/>
    </x:row>
    <x:row r="239">
      <x:c r="A239" s="41"/>
      <x:c r="B239" s="45"/>
      <x:c r="J239" s="53"/>
      <x:c r="L239" s="41"/>
    </x:row>
    <x:row r="240">
      <x:c r="A240" s="41"/>
      <x:c r="B240" s="45"/>
      <x:c r="J240" s="53"/>
      <x:c r="L240" s="41"/>
    </x:row>
    <x:row r="241">
      <x:c r="A241" s="41"/>
      <x:c r="B241" s="45"/>
      <x:c r="J241" s="53"/>
      <x:c r="L241" s="41"/>
    </x:row>
    <x:row r="242">
      <x:c r="A242" s="41"/>
      <x:c r="B242" s="45"/>
      <x:c r="J242" s="53"/>
      <x:c r="L242" s="41"/>
    </x:row>
    <x:row r="243">
      <x:c r="A243" s="41"/>
      <x:c r="B243" s="45"/>
      <x:c r="J243" s="53"/>
      <x:c r="L243" s="41"/>
    </x:row>
    <x:row r="244">
      <x:c r="A244" s="41"/>
      <x:c r="B244" s="45"/>
      <x:c r="J244" s="53"/>
      <x:c r="L244" s="41"/>
    </x:row>
    <x:row r="245">
      <x:c r="A245" s="41"/>
      <x:c r="B245" s="45"/>
      <x:c r="J245" s="53"/>
      <x:c r="L245" s="41"/>
    </x:row>
    <x:row r="246">
      <x:c r="A246" s="41"/>
      <x:c r="B246" s="45"/>
      <x:c r="J246" s="53"/>
      <x:c r="L246" s="41"/>
    </x:row>
    <x:row r="247">
      <x:c r="A247" s="41"/>
      <x:c r="B247" s="45"/>
      <x:c r="J247" s="53"/>
      <x:c r="L247" s="41"/>
    </x:row>
    <x:row r="248">
      <x:c r="A248" s="41"/>
      <x:c r="B248" s="45"/>
      <x:c r="J248" s="53"/>
      <x:c r="L248" s="41"/>
    </x:row>
    <x:row r="249">
      <x:c r="A249" s="41"/>
      <x:c r="B249" s="45"/>
      <x:c r="J249" s="53"/>
      <x:c r="L249" s="41"/>
    </x:row>
    <x:row r="250">
      <x:c r="A250" s="41"/>
      <x:c r="B250" s="45"/>
      <x:c r="J250" s="53"/>
      <x:c r="L250" s="41"/>
    </x:row>
    <x:row r="251">
      <x:c r="A251" s="41"/>
      <x:c r="B251" s="45"/>
      <x:c r="J251" s="53"/>
      <x:c r="L251" s="41"/>
    </x:row>
    <x:row r="252">
      <x:c r="A252" s="41"/>
      <x:c r="B252" s="45"/>
      <x:c r="J252" s="53"/>
      <x:c r="L252" s="41"/>
    </x:row>
    <x:row r="253">
      <x:c r="A253" s="41"/>
      <x:c r="B253" s="45"/>
      <x:c r="J253" s="53"/>
      <x:c r="L253" s="41"/>
    </x:row>
    <x:row r="254">
      <x:c r="A254" s="41"/>
      <x:c r="B254" s="45"/>
      <x:c r="J254" s="53"/>
      <x:c r="L254" s="41"/>
    </x:row>
    <x:row r="255">
      <x:c r="A255" s="41"/>
      <x:c r="B255" s="45"/>
      <x:c r="J255" s="53"/>
      <x:c r="L255" s="41"/>
    </x:row>
    <x:row r="256">
      <x:c r="A256" s="41"/>
      <x:c r="B256" s="45"/>
      <x:c r="J256" s="53"/>
      <x:c r="L256" s="41"/>
    </x:row>
    <x:row r="257">
      <x:c r="A257" s="41"/>
      <x:c r="B257" s="45"/>
      <x:c r="J257" s="53"/>
      <x:c r="L257" s="41"/>
    </x:row>
    <x:row r="258">
      <x:c r="A258" s="41"/>
      <x:c r="B258" s="45"/>
      <x:c r="J258" s="53"/>
      <x:c r="L258" s="41"/>
    </x:row>
    <x:row r="259">
      <x:c r="A259" s="41"/>
      <x:c r="B259" s="45"/>
      <x:c r="J259" s="53"/>
      <x:c r="L259" s="41"/>
    </x:row>
    <x:row r="260">
      <x:c r="A260" s="41"/>
      <x:c r="B260" s="45"/>
      <x:c r="J260" s="53"/>
      <x:c r="L260" s="41"/>
    </x:row>
    <x:row r="261">
      <x:c r="A261" s="41"/>
      <x:c r="B261" s="45"/>
      <x:c r="J261" s="53"/>
      <x:c r="L261" s="41"/>
    </x:row>
    <x:row r="262">
      <x:c r="A262" s="41"/>
      <x:c r="B262" s="45"/>
      <x:c r="J262" s="53"/>
      <x:c r="L262" s="41"/>
    </x:row>
    <x:row r="263">
      <x:c r="A263" s="41"/>
      <x:c r="B263" s="45"/>
      <x:c r="J263" s="53"/>
      <x:c r="L263" s="41"/>
    </x:row>
    <x:row r="264">
      <x:c r="A264" s="41"/>
      <x:c r="B264" s="45"/>
      <x:c r="J264" s="53"/>
      <x:c r="L264" s="41"/>
    </x:row>
    <x:row r="265">
      <x:c r="A265" s="41"/>
      <x:c r="B265" s="45"/>
      <x:c r="J265" s="53"/>
      <x:c r="L265" s="41"/>
    </x:row>
    <x:row r="266">
      <x:c r="A266" s="41"/>
      <x:c r="B266" s="45"/>
      <x:c r="J266" s="53"/>
      <x:c r="L266" s="41"/>
    </x:row>
    <x:row r="267">
      <x:c r="A267" s="41"/>
      <x:c r="B267" s="45"/>
      <x:c r="J267" s="53"/>
      <x:c r="L267" s="41"/>
    </x:row>
    <x:row r="268">
      <x:c r="A268" s="41"/>
      <x:c r="B268" s="45"/>
      <x:c r="J268" s="53"/>
      <x:c r="L268" s="41"/>
    </x:row>
    <x:row r="269">
      <x:c r="A269" s="41"/>
      <x:c r="B269" s="45"/>
      <x:c r="J269" s="53"/>
      <x:c r="L269" s="41"/>
    </x:row>
    <x:row r="270">
      <x:c r="A270" s="41"/>
      <x:c r="B270" s="45"/>
      <x:c r="J270" s="53"/>
      <x:c r="L270" s="41"/>
    </x:row>
    <x:row r="271">
      <x:c r="A271" s="41"/>
      <x:c r="B271" s="45"/>
      <x:c r="J271" s="53"/>
      <x:c r="L271" s="41"/>
    </x:row>
    <x:row r="272">
      <x:c r="A272" s="41"/>
      <x:c r="B272" s="45"/>
      <x:c r="J272" s="53"/>
      <x:c r="L272" s="41"/>
    </x:row>
    <x:row r="273">
      <x:c r="A273" s="41"/>
      <x:c r="B273" s="45"/>
      <x:c r="J273" s="53"/>
      <x:c r="L273" s="41"/>
    </x:row>
    <x:row r="274">
      <x:c r="A274" s="41"/>
      <x:c r="B274" s="45"/>
      <x:c r="J274" s="53"/>
      <x:c r="L274" s="41"/>
    </x:row>
    <x:row r="275">
      <x:c r="A275" s="41"/>
      <x:c r="B275" s="45"/>
      <x:c r="J275" s="53"/>
      <x:c r="L275" s="41"/>
    </x:row>
    <x:row r="276">
      <x:c r="A276" s="41"/>
      <x:c r="B276" s="45"/>
      <x:c r="J276" s="53"/>
      <x:c r="L276" s="41"/>
    </x:row>
    <x:row r="277">
      <x:c r="A277" s="41"/>
      <x:c r="B277" s="45"/>
      <x:c r="J277" s="53"/>
      <x:c r="L277" s="41"/>
    </x:row>
    <x:row r="278">
      <x:c r="A278" s="41"/>
      <x:c r="B278" s="45"/>
      <x:c r="J278" s="53"/>
      <x:c r="L278" s="41"/>
    </x:row>
    <x:row r="279">
      <x:c r="A279" s="41"/>
      <x:c r="B279" s="45"/>
      <x:c r="J279" s="53"/>
      <x:c r="L279" s="41"/>
    </x:row>
    <x:row r="280">
      <x:c r="A280" s="41"/>
      <x:c r="B280" s="45"/>
      <x:c r="J280" s="53"/>
      <x:c r="L280" s="41"/>
    </x:row>
    <x:row r="281">
      <x:c r="A281" s="41"/>
      <x:c r="B281" s="45"/>
      <x:c r="J281" s="53"/>
      <x:c r="L281" s="41"/>
    </x:row>
    <x:row r="282">
      <x:c r="A282" s="41"/>
      <x:c r="B282" s="45"/>
      <x:c r="J282" s="53"/>
      <x:c r="L282" s="41"/>
    </x:row>
    <x:row r="283">
      <x:c r="A283" s="41"/>
      <x:c r="B283" s="45"/>
      <x:c r="J283" s="53"/>
      <x:c r="L283" s="41"/>
    </x:row>
    <x:row r="284">
      <x:c r="A284" s="41"/>
      <x:c r="B284" s="45"/>
      <x:c r="J284" s="53"/>
      <x:c r="L284" s="41"/>
    </x:row>
    <x:row r="285">
      <x:c r="A285" s="41"/>
      <x:c r="B285" s="45"/>
      <x:c r="J285" s="53"/>
      <x:c r="L285" s="41"/>
    </x:row>
    <x:row r="286">
      <x:c r="A286" s="41"/>
      <x:c r="B286" s="45"/>
      <x:c r="J286" s="53"/>
      <x:c r="L286" s="41"/>
    </x:row>
    <x:row r="287">
      <x:c r="A287" s="41"/>
      <x:c r="B287" s="45"/>
      <x:c r="J287" s="53"/>
      <x:c r="L287" s="41"/>
    </x:row>
    <x:row r="288">
      <x:c r="A288" s="41"/>
      <x:c r="B288" s="45"/>
      <x:c r="J288" s="53"/>
      <x:c r="L288" s="41"/>
    </x:row>
    <x:row r="289">
      <x:c r="A289" s="41"/>
      <x:c r="B289" s="45"/>
      <x:c r="J289" s="53"/>
      <x:c r="L289" s="41"/>
    </x:row>
    <x:row r="290">
      <x:c r="A290" s="41"/>
      <x:c r="B290" s="45"/>
      <x:c r="J290" s="53"/>
      <x:c r="L290" s="41"/>
    </x:row>
    <x:row r="291">
      <x:c r="A291" s="41"/>
      <x:c r="B291" s="45"/>
      <x:c r="J291" s="53"/>
      <x:c r="L291" s="41"/>
    </x:row>
    <x:row r="292">
      <x:c r="A292" s="41"/>
      <x:c r="B292" s="45"/>
      <x:c r="J292" s="53"/>
      <x:c r="L292" s="41"/>
    </x:row>
    <x:row r="293">
      <x:c r="A293" s="41"/>
      <x:c r="B293" s="45"/>
      <x:c r="J293" s="53"/>
      <x:c r="L293" s="41"/>
    </x:row>
    <x:row r="294">
      <x:c r="A294" s="41"/>
      <x:c r="B294" s="45"/>
      <x:c r="J294" s="53"/>
      <x:c r="L294" s="41"/>
    </x:row>
    <x:row r="295">
      <x:c r="A295" s="41"/>
      <x:c r="B295" s="45"/>
      <x:c r="J295" s="53"/>
      <x:c r="L295" s="41"/>
    </x:row>
    <x:row r="296">
      <x:c r="A296" s="41"/>
      <x:c r="B296" s="45"/>
      <x:c r="J296" s="53"/>
      <x:c r="L296" s="41"/>
    </x:row>
    <x:row r="297">
      <x:c r="A297" s="41"/>
      <x:c r="B297" s="45"/>
      <x:c r="J297" s="53"/>
      <x:c r="L297" s="41"/>
    </x:row>
    <x:row r="298">
      <x:c r="A298" s="41"/>
      <x:c r="B298" s="45"/>
      <x:c r="J298" s="53"/>
      <x:c r="L298" s="41"/>
    </x:row>
    <x:row r="299">
      <x:c r="A299" s="41"/>
      <x:c r="B299" s="45"/>
      <x:c r="J299" s="53"/>
      <x:c r="L299" s="41"/>
    </x:row>
    <x:row r="300">
      <x:c r="A300" s="41"/>
      <x:c r="B300" s="45"/>
      <x:c r="J300" s="53"/>
      <x:c r="L300" s="41"/>
    </x:row>
    <x:row r="301">
      <x:c r="A301" s="41"/>
      <x:c r="B301" s="45"/>
      <x:c r="J301" s="53"/>
      <x:c r="L301" s="41"/>
    </x:row>
    <x:row r="302">
      <x:c r="A302" s="41"/>
      <x:c r="B302" s="45"/>
      <x:c r="J302" s="53"/>
      <x:c r="L302" s="41"/>
    </x:row>
    <x:row r="303">
      <x:c r="A303" s="41"/>
      <x:c r="B303" s="45"/>
      <x:c r="J303" s="53"/>
      <x:c r="L303" s="41"/>
    </x:row>
    <x:row r="304">
      <x:c r="A304" s="41"/>
      <x:c r="B304" s="45"/>
      <x:c r="J304" s="53"/>
      <x:c r="L304" s="41"/>
    </x:row>
    <x:row r="305">
      <x:c r="A305" s="41"/>
      <x:c r="B305" s="45"/>
      <x:c r="J305" s="53"/>
      <x:c r="L305" s="41"/>
    </x:row>
    <x:row r="306">
      <x:c r="A306" s="41"/>
      <x:c r="B306" s="45"/>
      <x:c r="J306" s="53"/>
      <x:c r="L306" s="41"/>
    </x:row>
    <x:row r="307">
      <x:c r="A307" s="41"/>
      <x:c r="B307" s="45"/>
      <x:c r="J307" s="53"/>
      <x:c r="L307" s="41"/>
    </x:row>
    <x:row r="308">
      <x:c r="A308" s="41"/>
      <x:c r="B308" s="45"/>
      <x:c r="J308" s="53"/>
      <x:c r="L308" s="41"/>
    </x:row>
    <x:row r="309">
      <x:c r="A309" s="41"/>
      <x:c r="B309" s="45"/>
      <x:c r="J309" s="53"/>
      <x:c r="L309" s="41"/>
    </x:row>
    <x:row r="310">
      <x:c r="A310" s="41"/>
      <x:c r="B310" s="45"/>
      <x:c r="J310" s="53"/>
      <x:c r="L310" s="41"/>
    </x:row>
    <x:row r="311">
      <x:c r="A311" s="41"/>
      <x:c r="B311" s="45"/>
      <x:c r="J311" s="53"/>
      <x:c r="L311" s="41"/>
    </x:row>
    <x:row r="312">
      <x:c r="A312" s="41"/>
      <x:c r="B312" s="45"/>
      <x:c r="J312" s="53"/>
      <x:c r="L312" s="41"/>
    </x:row>
    <x:row r="313">
      <x:c r="A313" s="41"/>
      <x:c r="B313" s="45"/>
      <x:c r="J313" s="53"/>
      <x:c r="L313" s="41"/>
    </x:row>
    <x:row r="314">
      <x:c r="A314" s="41"/>
      <x:c r="B314" s="45"/>
      <x:c r="J314" s="53"/>
      <x:c r="L314" s="41"/>
    </x:row>
    <x:row r="315">
      <x:c r="A315" s="41"/>
      <x:c r="B315" s="45"/>
      <x:c r="J315" s="53"/>
      <x:c r="L315" s="41"/>
    </x:row>
    <x:row r="316">
      <x:c r="A316" s="41"/>
      <x:c r="B316" s="45"/>
      <x:c r="J316" s="53"/>
      <x:c r="L316" s="41"/>
    </x:row>
    <x:row r="317">
      <x:c r="A317" s="41"/>
      <x:c r="B317" s="45"/>
      <x:c r="J317" s="53"/>
      <x:c r="L317" s="41"/>
    </x:row>
    <x:row r="318">
      <x:c r="A318" s="41"/>
      <x:c r="B318" s="45"/>
      <x:c r="J318" s="53"/>
      <x:c r="L318" s="41"/>
    </x:row>
    <x:row r="319">
      <x:c r="A319" s="41"/>
      <x:c r="B319" s="45"/>
      <x:c r="J319" s="53"/>
      <x:c r="L319" s="41"/>
    </x:row>
    <x:row r="320">
      <x:c r="A320" s="41"/>
      <x:c r="B320" s="45"/>
      <x:c r="J320" s="53"/>
      <x:c r="L320" s="41"/>
    </x:row>
    <x:row r="321">
      <x:c r="A321" s="41"/>
      <x:c r="B321" s="45"/>
      <x:c r="J321" s="53"/>
      <x:c r="L321" s="41"/>
    </x:row>
    <x:row r="322">
      <x:c r="A322" s="41"/>
      <x:c r="B322" s="45"/>
      <x:c r="J322" s="53"/>
      <x:c r="L322" s="41"/>
    </x:row>
    <x:row r="323">
      <x:c r="A323" s="41"/>
      <x:c r="B323" s="45"/>
      <x:c r="J323" s="53"/>
      <x:c r="L323" s="41"/>
    </x:row>
    <x:row r="324">
      <x:c r="A324" s="41"/>
      <x:c r="B324" s="45"/>
      <x:c r="J324" s="53"/>
      <x:c r="L324" s="41"/>
    </x:row>
    <x:row r="325">
      <x:c r="A325" s="41"/>
      <x:c r="B325" s="45"/>
      <x:c r="J325" s="53"/>
      <x:c r="L325" s="41"/>
    </x:row>
    <x:row r="326">
      <x:c r="A326" s="41"/>
      <x:c r="B326" s="45"/>
      <x:c r="J326" s="53"/>
      <x:c r="L326" s="41"/>
    </x:row>
    <x:row r="327">
      <x:c r="A327" s="41"/>
      <x:c r="B327" s="45"/>
      <x:c r="J327" s="53"/>
      <x:c r="L327" s="41"/>
    </x:row>
    <x:row r="328">
      <x:c r="A328" s="41"/>
      <x:c r="B328" s="45"/>
      <x:c r="J328" s="53"/>
      <x:c r="L328" s="41"/>
    </x:row>
    <x:row r="329">
      <x:c r="A329" s="41"/>
      <x:c r="B329" s="45"/>
      <x:c r="J329" s="53"/>
      <x:c r="L329" s="41"/>
    </x:row>
    <x:row r="330">
      <x:c r="A330" s="41"/>
      <x:c r="B330" s="45"/>
      <x:c r="J330" s="53"/>
      <x:c r="L330" s="41"/>
    </x:row>
    <x:row r="331">
      <x:c r="A331" s="41"/>
      <x:c r="B331" s="45"/>
      <x:c r="J331" s="53"/>
      <x:c r="L331" s="41"/>
    </x:row>
    <x:row r="332">
      <x:c r="A332" s="41"/>
      <x:c r="B332" s="45"/>
      <x:c r="J332" s="53"/>
      <x:c r="L332" s="41"/>
    </x:row>
    <x:row r="333">
      <x:c r="A333" s="41"/>
      <x:c r="B333" s="45"/>
      <x:c r="J333" s="53"/>
      <x:c r="L333" s="41"/>
    </x:row>
    <x:row r="334">
      <x:c r="A334" s="41"/>
      <x:c r="B334" s="45"/>
      <x:c r="J334" s="53"/>
      <x:c r="L334" s="41"/>
    </x:row>
    <x:row r="335">
      <x:c r="A335" s="41"/>
      <x:c r="B335" s="45"/>
      <x:c r="J335" s="53"/>
      <x:c r="L335" s="41"/>
    </x:row>
    <x:row r="336">
      <x:c r="A336" s="41"/>
      <x:c r="B336" s="45"/>
      <x:c r="J336" s="53"/>
      <x:c r="L336" s="41"/>
    </x:row>
    <x:row r="337">
      <x:c r="A337" s="41"/>
      <x:c r="B337" s="45"/>
      <x:c r="J337" s="53"/>
      <x:c r="L337" s="41"/>
    </x:row>
    <x:row r="338">
      <x:c r="A338" s="41"/>
      <x:c r="B338" s="45"/>
      <x:c r="J338" s="53"/>
      <x:c r="L338" s="41"/>
    </x:row>
    <x:row r="339">
      <x:c r="A339" s="41"/>
      <x:c r="B339" s="45"/>
      <x:c r="J339" s="53"/>
      <x:c r="L339" s="41"/>
    </x:row>
    <x:row r="340">
      <x:c r="A340" s="41"/>
      <x:c r="B340" s="45"/>
      <x:c r="J340" s="53"/>
      <x:c r="L340" s="41"/>
    </x:row>
    <x:row r="341">
      <x:c r="A341" s="41"/>
      <x:c r="B341" s="45"/>
      <x:c r="J341" s="53"/>
      <x:c r="L341" s="41"/>
    </x:row>
    <x:row r="342">
      <x:c r="A342" s="41"/>
      <x:c r="B342" s="45"/>
      <x:c r="J342" s="53"/>
      <x:c r="L342" s="41"/>
    </x:row>
    <x:row r="343">
      <x:c r="A343" s="41"/>
      <x:c r="B343" s="45"/>
      <x:c r="J343" s="53"/>
      <x:c r="L343" s="41"/>
    </x:row>
    <x:row r="344">
      <x:c r="A344" s="41"/>
      <x:c r="B344" s="45"/>
      <x:c r="J344" s="53"/>
      <x:c r="L344" s="41"/>
    </x:row>
    <x:row r="345">
      <x:c r="A345" s="41"/>
      <x:c r="B345" s="45"/>
      <x:c r="J345" s="53"/>
      <x:c r="L345" s="41"/>
    </x:row>
    <x:row r="346">
      <x:c r="A346" s="41"/>
      <x:c r="B346" s="45"/>
      <x:c r="J346" s="53"/>
      <x:c r="L346" s="41"/>
    </x:row>
    <x:row r="347">
      <x:c r="A347" s="41"/>
      <x:c r="B347" s="45"/>
      <x:c r="J347" s="53"/>
      <x:c r="L347" s="41"/>
    </x:row>
    <x:row r="348">
      <x:c r="A348" s="41"/>
      <x:c r="B348" s="45"/>
      <x:c r="J348" s="53"/>
      <x:c r="L348" s="41"/>
    </x:row>
    <x:row r="349">
      <x:c r="A349" s="41"/>
      <x:c r="B349" s="45"/>
      <x:c r="J349" s="53"/>
      <x:c r="L349" s="41"/>
    </x:row>
    <x:row r="350">
      <x:c r="A350" s="41"/>
      <x:c r="B350" s="45"/>
      <x:c r="J350" s="53"/>
      <x:c r="L350" s="41"/>
    </x:row>
    <x:row r="351">
      <x:c r="A351" s="41"/>
      <x:c r="B351" s="45"/>
      <x:c r="J351" s="53"/>
      <x:c r="L351" s="41"/>
    </x:row>
    <x:row r="352">
      <x:c r="A352" s="41"/>
      <x:c r="B352" s="45"/>
      <x:c r="J352" s="53"/>
      <x:c r="L352" s="41"/>
    </x:row>
    <x:row r="353">
      <x:c r="A353" s="41"/>
      <x:c r="B353" s="45"/>
      <x:c r="J353" s="53"/>
      <x:c r="L353" s="41"/>
    </x:row>
    <x:row r="354">
      <x:c r="A354" s="41"/>
      <x:c r="B354" s="45"/>
      <x:c r="J354" s="53"/>
      <x:c r="L354" s="41"/>
    </x:row>
    <x:row r="355">
      <x:c r="A355" s="41"/>
      <x:c r="B355" s="45"/>
      <x:c r="J355" s="53"/>
      <x:c r="L355" s="41"/>
    </x:row>
    <x:row r="356">
      <x:c r="A356" s="41"/>
      <x:c r="B356" s="45"/>
      <x:c r="J356" s="53"/>
      <x:c r="L356" s="41"/>
    </x:row>
    <x:row r="357">
      <x:c r="A357" s="41"/>
      <x:c r="B357" s="45"/>
      <x:c r="J357" s="53"/>
      <x:c r="L357" s="41"/>
    </x:row>
    <x:row r="358">
      <x:c r="A358" s="41"/>
      <x:c r="B358" s="45"/>
      <x:c r="J358" s="53"/>
      <x:c r="L358" s="41"/>
    </x:row>
    <x:row r="359">
      <x:c r="A359" s="41"/>
      <x:c r="B359" s="45"/>
      <x:c r="J359" s="53"/>
      <x:c r="L359" s="41"/>
    </x:row>
    <x:row r="360">
      <x:c r="A360" s="41"/>
      <x:c r="B360" s="45"/>
      <x:c r="J360" s="53"/>
      <x:c r="L360" s="41"/>
    </x:row>
    <x:row r="361">
      <x:c r="A361" s="41"/>
      <x:c r="B361" s="45"/>
      <x:c r="J361" s="53"/>
      <x:c r="L361" s="41"/>
    </x:row>
    <x:row r="362">
      <x:c r="A362" s="41"/>
      <x:c r="B362" s="45"/>
      <x:c r="J362" s="53"/>
      <x:c r="L362" s="41"/>
    </x:row>
    <x:row r="363">
      <x:c r="A363" s="41"/>
      <x:c r="B363" s="45"/>
      <x:c r="J363" s="53"/>
      <x:c r="L363" s="41"/>
    </x:row>
    <x:row r="364">
      <x:c r="A364" s="41"/>
      <x:c r="B364" s="45"/>
      <x:c r="J364" s="53"/>
      <x:c r="L364" s="41"/>
    </x:row>
    <x:row r="365">
      <x:c r="A365" s="41"/>
      <x:c r="B365" s="45"/>
      <x:c r="J365" s="53"/>
      <x:c r="L365" s="41"/>
    </x:row>
    <x:row r="366">
      <x:c r="A366" s="41"/>
      <x:c r="B366" s="45"/>
      <x:c r="J366" s="53"/>
      <x:c r="L366" s="41"/>
    </x:row>
    <x:row r="367">
      <x:c r="A367" s="41"/>
      <x:c r="B367" s="45"/>
      <x:c r="J367" s="53"/>
      <x:c r="L367" s="41"/>
    </x:row>
    <x:row r="368">
      <x:c r="A368" s="41"/>
      <x:c r="B368" s="45"/>
      <x:c r="J368" s="53"/>
      <x:c r="L368" s="41"/>
    </x:row>
    <x:row r="369">
      <x:c r="A369" s="41"/>
      <x:c r="B369" s="45"/>
      <x:c r="J369" s="53"/>
      <x:c r="L369" s="41"/>
    </x:row>
    <x:row r="370">
      <x:c r="A370" s="41"/>
      <x:c r="B370" s="45"/>
      <x:c r="J370" s="53"/>
      <x:c r="L370" s="41"/>
    </x:row>
    <x:row r="371">
      <x:c r="A371" s="41"/>
      <x:c r="B371" s="45"/>
      <x:c r="J371" s="53"/>
      <x:c r="L371" s="41"/>
    </x:row>
    <x:row r="372">
      <x:c r="A372" s="41"/>
      <x:c r="B372" s="45"/>
      <x:c r="J372" s="53"/>
      <x:c r="L372" s="41"/>
    </x:row>
    <x:row r="373">
      <x:c r="A373" s="41"/>
      <x:c r="B373" s="45"/>
      <x:c r="J373" s="53"/>
      <x:c r="L373" s="41"/>
    </x:row>
    <x:row r="374">
      <x:c r="A374" s="41"/>
      <x:c r="B374" s="45"/>
      <x:c r="J374" s="53"/>
      <x:c r="L374" s="41"/>
    </x:row>
    <x:row r="375">
      <x:c r="A375" s="41"/>
      <x:c r="B375" s="45"/>
      <x:c r="J375" s="53"/>
      <x:c r="L375" s="41"/>
    </x:row>
    <x:row r="376">
      <x:c r="A376" s="41"/>
      <x:c r="B376" s="45"/>
      <x:c r="J376" s="53"/>
      <x:c r="L376" s="41"/>
    </x:row>
    <x:row r="377">
      <x:c r="A377" s="41"/>
      <x:c r="B377" s="45"/>
      <x:c r="J377" s="53"/>
      <x:c r="L377" s="41"/>
    </x:row>
    <x:row r="378">
      <x:c r="A378" s="41"/>
      <x:c r="B378" s="45"/>
      <x:c r="J378" s="53"/>
      <x:c r="L378" s="41"/>
    </x:row>
    <x:row r="379">
      <x:c r="A379" s="41"/>
      <x:c r="B379" s="45"/>
      <x:c r="J379" s="53"/>
      <x:c r="L379" s="41"/>
    </x:row>
    <x:row r="380">
      <x:c r="A380" s="41"/>
      <x:c r="B380" s="45"/>
      <x:c r="J380" s="53"/>
      <x:c r="L380" s="41"/>
    </x:row>
    <x:row r="381">
      <x:c r="A381" s="41"/>
      <x:c r="B381" s="45"/>
      <x:c r="J381" s="53"/>
      <x:c r="L381" s="41"/>
    </x:row>
    <x:row r="382">
      <x:c r="A382" s="41"/>
      <x:c r="B382" s="45"/>
      <x:c r="J382" s="53"/>
      <x:c r="L382" s="41"/>
    </x:row>
    <x:row r="383">
      <x:c r="A383" s="41"/>
      <x:c r="B383" s="45"/>
      <x:c r="J383" s="53"/>
      <x:c r="L383" s="41"/>
    </x:row>
    <x:row r="384">
      <x:c r="A384" s="41"/>
      <x:c r="B384" s="45"/>
      <x:c r="J384" s="53"/>
      <x:c r="L384" s="41"/>
    </x:row>
    <x:row r="385">
      <x:c r="A385" s="41"/>
      <x:c r="B385" s="45"/>
      <x:c r="J385" s="53"/>
      <x:c r="L385" s="41"/>
    </x:row>
    <x:row r="386">
      <x:c r="A386" s="41"/>
      <x:c r="B386" s="45"/>
      <x:c r="J386" s="53"/>
      <x:c r="L386" s="41"/>
    </x:row>
    <x:row r="387">
      <x:c r="A387" s="41"/>
      <x:c r="B387" s="45"/>
      <x:c r="J387" s="53"/>
      <x:c r="L387" s="41"/>
    </x:row>
    <x:row r="388">
      <x:c r="A388" s="41"/>
      <x:c r="B388" s="45"/>
      <x:c r="J388" s="53"/>
      <x:c r="L388" s="41"/>
    </x:row>
    <x:row r="389">
      <x:c r="A389" s="41"/>
      <x:c r="B389" s="45"/>
      <x:c r="J389" s="53"/>
      <x:c r="L389" s="41"/>
    </x:row>
    <x:row r="390">
      <x:c r="A390" s="41"/>
      <x:c r="B390" s="45"/>
      <x:c r="J390" s="53"/>
      <x:c r="L390" s="41"/>
    </x:row>
    <x:row r="391">
      <x:c r="A391" s="41"/>
      <x:c r="B391" s="45"/>
      <x:c r="J391" s="53"/>
      <x:c r="L391" s="41"/>
    </x:row>
    <x:row r="392">
      <x:c r="A392" s="41"/>
      <x:c r="B392" s="45"/>
      <x:c r="J392" s="53"/>
      <x:c r="L392" s="41"/>
    </x:row>
    <x:row r="393">
      <x:c r="A393" s="41"/>
      <x:c r="B393" s="45"/>
      <x:c r="J393" s="53"/>
      <x:c r="L393" s="41"/>
    </x:row>
    <x:row r="394">
      <x:c r="A394" s="41"/>
      <x:c r="B394" s="45"/>
      <x:c r="J394" s="53"/>
      <x:c r="L394" s="41"/>
    </x:row>
    <x:row r="395">
      <x:c r="A395" s="41"/>
      <x:c r="B395" s="45"/>
      <x:c r="J395" s="53"/>
      <x:c r="L395" s="41"/>
    </x:row>
    <x:row r="396">
      <x:c r="A396" s="41"/>
      <x:c r="B396" s="45"/>
      <x:c r="J396" s="53"/>
      <x:c r="L396" s="41"/>
    </x:row>
    <x:row r="397">
      <x:c r="A397" s="41"/>
      <x:c r="B397" s="45"/>
      <x:c r="J397" s="53"/>
      <x:c r="L397" s="41"/>
    </x:row>
    <x:row r="398">
      <x:c r="A398" s="41"/>
      <x:c r="B398" s="45"/>
      <x:c r="J398" s="53"/>
      <x:c r="L398" s="41"/>
    </x:row>
    <x:row r="399">
      <x:c r="A399" s="41"/>
      <x:c r="B399" s="45"/>
      <x:c r="J399" s="53"/>
      <x:c r="L399" s="41"/>
    </x:row>
    <x:row r="400">
      <x:c r="A400" s="41"/>
      <x:c r="B400" s="45"/>
      <x:c r="J400" s="53"/>
      <x:c r="L400" s="41"/>
    </x:row>
    <x:row r="401">
      <x:c r="A401" s="41"/>
      <x:c r="B401" s="45"/>
      <x:c r="J401" s="53"/>
      <x:c r="L401" s="41"/>
    </x:row>
    <x:row r="402">
      <x:c r="A402" s="41"/>
      <x:c r="B402" s="45"/>
      <x:c r="J402" s="53"/>
      <x:c r="L402" s="41"/>
    </x:row>
    <x:row r="403">
      <x:c r="A403" s="41"/>
      <x:c r="B403" s="45"/>
      <x:c r="J403" s="53"/>
      <x:c r="L403" s="41"/>
    </x:row>
    <x:row r="404">
      <x:c r="A404" s="41"/>
      <x:c r="B404" s="45"/>
      <x:c r="J404" s="53"/>
      <x:c r="L404" s="41"/>
    </x:row>
    <x:row r="405">
      <x:c r="A405" s="41"/>
      <x:c r="B405" s="45"/>
      <x:c r="J405" s="53"/>
      <x:c r="L405" s="41"/>
    </x:row>
    <x:row r="406">
      <x:c r="A406" s="41"/>
      <x:c r="B406" s="45"/>
      <x:c r="J406" s="53"/>
      <x:c r="L406" s="41"/>
    </x:row>
    <x:row r="407">
      <x:c r="A407" s="41"/>
      <x:c r="B407" s="45"/>
      <x:c r="J407" s="53"/>
      <x:c r="L407" s="41"/>
    </x:row>
    <x:row r="408">
      <x:c r="A408" s="41"/>
      <x:c r="B408" s="45"/>
      <x:c r="J408" s="53"/>
      <x:c r="L408" s="41"/>
    </x:row>
    <x:row r="409">
      <x:c r="A409" s="41"/>
      <x:c r="B409" s="45"/>
      <x:c r="J409" s="53"/>
      <x:c r="L409" s="41"/>
    </x:row>
    <x:row r="410">
      <x:c r="A410" s="41"/>
      <x:c r="B410" s="45"/>
      <x:c r="J410" s="53"/>
      <x:c r="L410" s="41"/>
    </x:row>
    <x:row r="411">
      <x:c r="A411" s="41"/>
      <x:c r="B411" s="45"/>
      <x:c r="J411" s="53"/>
      <x:c r="L411" s="41"/>
    </x:row>
    <x:row r="412">
      <x:c r="A412" s="41"/>
      <x:c r="B412" s="45"/>
      <x:c r="J412" s="53"/>
      <x:c r="L412" s="41"/>
    </x:row>
    <x:row r="413">
      <x:c r="A413" s="41"/>
      <x:c r="B413" s="45"/>
      <x:c r="J413" s="53"/>
      <x:c r="L413" s="41"/>
    </x:row>
    <x:row r="414">
      <x:c r="A414" s="41"/>
      <x:c r="B414" s="45"/>
      <x:c r="J414" s="53"/>
      <x:c r="L414" s="41"/>
    </x:row>
    <x:row r="415">
      <x:c r="A415" s="41"/>
      <x:c r="B415" s="45"/>
      <x:c r="J415" s="53"/>
      <x:c r="L415" s="41"/>
    </x:row>
    <x:row r="416">
      <x:c r="A416" s="41"/>
      <x:c r="B416" s="45"/>
      <x:c r="J416" s="53"/>
      <x:c r="L416" s="41"/>
    </x:row>
    <x:row r="417">
      <x:c r="A417" s="41"/>
      <x:c r="B417" s="45"/>
      <x:c r="J417" s="53"/>
      <x:c r="L417" s="41"/>
    </x:row>
    <x:row r="418">
      <x:c r="A418" s="41"/>
      <x:c r="B418" s="45"/>
      <x:c r="J418" s="53"/>
      <x:c r="L418" s="41"/>
    </x:row>
    <x:row r="419">
      <x:c r="A419" s="41"/>
      <x:c r="B419" s="45"/>
      <x:c r="J419" s="53"/>
      <x:c r="L419" s="41"/>
    </x:row>
    <x:row r="420">
      <x:c r="A420" s="41"/>
      <x:c r="B420" s="45"/>
      <x:c r="J420" s="53"/>
      <x:c r="L420" s="41"/>
    </x:row>
    <x:row r="421">
      <x:c r="A421" s="41"/>
      <x:c r="B421" s="45"/>
      <x:c r="J421" s="53"/>
      <x:c r="L421" s="41"/>
    </x:row>
    <x:row r="422">
      <x:c r="A422" s="41"/>
      <x:c r="B422" s="45"/>
      <x:c r="J422" s="53"/>
      <x:c r="L422" s="41"/>
    </x:row>
    <x:row r="423">
      <x:c r="A423" s="41"/>
      <x:c r="B423" s="45"/>
      <x:c r="J423" s="53"/>
      <x:c r="L423" s="41"/>
    </x:row>
    <x:row r="424">
      <x:c r="A424" s="41"/>
      <x:c r="B424" s="45"/>
      <x:c r="J424" s="53"/>
      <x:c r="L424" s="41"/>
    </x:row>
    <x:row r="425">
      <x:c r="A425" s="41"/>
      <x:c r="B425" s="45"/>
      <x:c r="J425" s="53"/>
      <x:c r="L425" s="41"/>
    </x:row>
    <x:row r="426">
      <x:c r="A426" s="41"/>
      <x:c r="B426" s="45"/>
      <x:c r="J426" s="53"/>
      <x:c r="L426" s="41"/>
    </x:row>
    <x:row r="427">
      <x:c r="A427" s="41"/>
      <x:c r="B427" s="45"/>
      <x:c r="J427" s="53"/>
      <x:c r="L427" s="41"/>
    </x:row>
    <x:row r="428">
      <x:c r="A428" s="41"/>
      <x:c r="B428" s="45"/>
      <x:c r="J428" s="53"/>
      <x:c r="L428" s="41"/>
    </x:row>
    <x:row r="429">
      <x:c r="A429" s="41"/>
      <x:c r="B429" s="45"/>
      <x:c r="J429" s="53"/>
      <x:c r="L429" s="41"/>
    </x:row>
    <x:row r="430">
      <x:c r="A430" s="41"/>
      <x:c r="B430" s="45"/>
      <x:c r="J430" s="53"/>
      <x:c r="L430" s="41"/>
    </x:row>
    <x:row r="431">
      <x:c r="A431" s="41"/>
      <x:c r="B431" s="45"/>
      <x:c r="J431" s="53"/>
      <x:c r="L431" s="41"/>
    </x:row>
    <x:row r="432">
      <x:c r="A432" s="41"/>
      <x:c r="B432" s="45"/>
      <x:c r="J432" s="53"/>
      <x:c r="L432" s="41"/>
    </x:row>
    <x:row r="433">
      <x:c r="A433" s="41"/>
      <x:c r="B433" s="45"/>
      <x:c r="J433" s="53"/>
      <x:c r="L433" s="41"/>
    </x:row>
    <x:row r="434">
      <x:c r="A434" s="41"/>
      <x:c r="B434" s="45"/>
      <x:c r="J434" s="53"/>
      <x:c r="L434" s="41"/>
    </x:row>
    <x:row r="435">
      <x:c r="A435" s="41"/>
      <x:c r="B435" s="45"/>
      <x:c r="J435" s="53"/>
      <x:c r="L435" s="41"/>
    </x:row>
    <x:row r="436">
      <x:c r="A436" s="41"/>
      <x:c r="B436" s="45"/>
      <x:c r="J436" s="53"/>
      <x:c r="L436" s="41"/>
    </x:row>
    <x:row r="437">
      <x:c r="A437" s="41"/>
      <x:c r="B437" s="45"/>
      <x:c r="J437" s="53"/>
      <x:c r="L437" s="41"/>
    </x:row>
    <x:row r="438">
      <x:c r="A438" s="41"/>
      <x:c r="B438" s="45"/>
      <x:c r="J438" s="53"/>
      <x:c r="L438" s="41"/>
    </x:row>
    <x:row r="439">
      <x:c r="A439" s="41"/>
      <x:c r="B439" s="45"/>
      <x:c r="J439" s="53"/>
      <x:c r="L439" s="41"/>
    </x:row>
    <x:row r="440">
      <x:c r="A440" s="41"/>
      <x:c r="B440" s="45"/>
      <x:c r="J440" s="53"/>
      <x:c r="L440" s="41"/>
    </x:row>
    <x:row r="441">
      <x:c r="A441" s="41"/>
      <x:c r="B441" s="45"/>
      <x:c r="J441" s="53"/>
      <x:c r="L441" s="41"/>
    </x:row>
    <x:row r="442">
      <x:c r="A442" s="41"/>
      <x:c r="B442" s="45"/>
      <x:c r="J442" s="53"/>
      <x:c r="L442" s="41"/>
    </x:row>
    <x:row r="443">
      <x:c r="A443" s="41"/>
      <x:c r="B443" s="45"/>
      <x:c r="J443" s="53"/>
      <x:c r="L443" s="41"/>
    </x:row>
    <x:row r="444">
      <x:c r="A444" s="41"/>
      <x:c r="B444" s="45"/>
      <x:c r="J444" s="53"/>
      <x:c r="L444" s="41"/>
    </x:row>
    <x:row r="445">
      <x:c r="A445" s="41"/>
      <x:c r="B445" s="45"/>
      <x:c r="J445" s="53"/>
      <x:c r="L445" s="41"/>
    </x:row>
    <x:row r="446">
      <x:c r="A446" s="41"/>
      <x:c r="B446" s="45"/>
      <x:c r="J446" s="53"/>
      <x:c r="L446" s="41"/>
    </x:row>
    <x:row r="447">
      <x:c r="A447" s="41"/>
      <x:c r="B447" s="45"/>
      <x:c r="J447" s="53"/>
      <x:c r="L447" s="41"/>
    </x:row>
    <x:row r="448">
      <x:c r="A448" s="41"/>
      <x:c r="B448" s="45"/>
      <x:c r="J448" s="53"/>
      <x:c r="L448" s="41"/>
    </x:row>
    <x:row r="449">
      <x:c r="A449" s="41"/>
      <x:c r="B449" s="45"/>
      <x:c r="J449" s="53"/>
      <x:c r="L449" s="41"/>
    </x:row>
    <x:row r="450">
      <x:c r="A450" s="41"/>
      <x:c r="B450" s="45"/>
      <x:c r="J450" s="53"/>
      <x:c r="L450" s="41"/>
    </x:row>
    <x:row r="451">
      <x:c r="A451" s="41"/>
      <x:c r="B451" s="45"/>
      <x:c r="J451" s="53"/>
      <x:c r="L451" s="41"/>
    </x:row>
    <x:row r="452">
      <x:c r="A452" s="41"/>
      <x:c r="B452" s="45"/>
      <x:c r="J452" s="53"/>
      <x:c r="L452" s="41"/>
    </x:row>
    <x:row r="453">
      <x:c r="A453" s="41"/>
      <x:c r="B453" s="45"/>
      <x:c r="J453" s="53"/>
      <x:c r="L453" s="41"/>
    </x:row>
    <x:row r="454">
      <x:c r="A454" s="41"/>
      <x:c r="B454" s="45"/>
      <x:c r="J454" s="53"/>
      <x:c r="L454" s="41"/>
    </x:row>
    <x:row r="455">
      <x:c r="A455" s="41"/>
      <x:c r="B455" s="45"/>
      <x:c r="J455" s="53"/>
      <x:c r="L455" s="41"/>
    </x:row>
    <x:row r="456">
      <x:c r="A456" s="41"/>
      <x:c r="B456" s="45"/>
      <x:c r="J456" s="53"/>
      <x:c r="L456" s="41"/>
    </x:row>
    <x:row r="457">
      <x:c r="A457" s="41"/>
      <x:c r="B457" s="45"/>
      <x:c r="J457" s="53"/>
      <x:c r="L457" s="41"/>
    </x:row>
    <x:row r="458">
      <x:c r="A458" s="41"/>
      <x:c r="B458" s="45"/>
      <x:c r="J458" s="53"/>
      <x:c r="L458" s="41"/>
    </x:row>
    <x:row r="459">
      <x:c r="A459" s="41"/>
      <x:c r="B459" s="45"/>
      <x:c r="J459" s="53"/>
      <x:c r="L459" s="41"/>
    </x:row>
    <x:row r="460">
      <x:c r="A460" s="41"/>
      <x:c r="B460" s="45"/>
      <x:c r="J460" s="53"/>
      <x:c r="L460" s="41"/>
    </x:row>
    <x:row r="461">
      <x:c r="A461" s="41"/>
      <x:c r="B461" s="45"/>
      <x:c r="J461" s="53"/>
      <x:c r="L461" s="41"/>
    </x:row>
    <x:row r="462">
      <x:c r="A462" s="41"/>
      <x:c r="B462" s="45"/>
      <x:c r="J462" s="53"/>
      <x:c r="L462" s="41"/>
    </x:row>
    <x:row r="463">
      <x:c r="A463" s="41"/>
      <x:c r="B463" s="45"/>
      <x:c r="J463" s="53"/>
      <x:c r="L463" s="41"/>
    </x:row>
    <x:row r="464">
      <x:c r="A464" s="41"/>
      <x:c r="B464" s="45"/>
      <x:c r="J464" s="53"/>
      <x:c r="L464" s="41"/>
    </x:row>
    <x:row r="465">
      <x:c r="A465" s="41"/>
      <x:c r="B465" s="45"/>
      <x:c r="J465" s="53"/>
      <x:c r="L465" s="41"/>
    </x:row>
    <x:row r="466">
      <x:c r="A466" s="41"/>
      <x:c r="B466" s="45"/>
      <x:c r="J466" s="53"/>
      <x:c r="L466" s="41"/>
    </x:row>
    <x:row r="467">
      <x:c r="A467" s="41"/>
      <x:c r="B467" s="45"/>
      <x:c r="J467" s="53"/>
      <x:c r="L467" s="41"/>
    </x:row>
    <x:row r="468">
      <x:c r="A468" s="41"/>
      <x:c r="B468" s="45"/>
      <x:c r="J468" s="53"/>
      <x:c r="L468" s="41"/>
    </x:row>
    <x:row r="469">
      <x:c r="A469" s="41"/>
      <x:c r="B469" s="45"/>
      <x:c r="J469" s="53"/>
      <x:c r="L469" s="41"/>
    </x:row>
    <x:row r="470">
      <x:c r="A470" s="41"/>
      <x:c r="B470" s="45"/>
      <x:c r="J470" s="53"/>
      <x:c r="L470" s="41"/>
    </x:row>
    <x:row r="471">
      <x:c r="A471" s="41"/>
      <x:c r="B471" s="45"/>
      <x:c r="J471" s="53"/>
      <x:c r="L471" s="41"/>
    </x:row>
    <x:row r="472">
      <x:c r="A472" s="41"/>
      <x:c r="B472" s="45"/>
      <x:c r="J472" s="53"/>
      <x:c r="L472" s="41"/>
    </x:row>
    <x:row r="473">
      <x:c r="A473" s="41"/>
      <x:c r="B473" s="45"/>
      <x:c r="J473" s="53"/>
      <x:c r="L473" s="41"/>
    </x:row>
    <x:row r="474">
      <x:c r="A474" s="41"/>
      <x:c r="B474" s="45"/>
      <x:c r="J474" s="53"/>
      <x:c r="L474" s="41"/>
    </x:row>
    <x:row r="475">
      <x:c r="A475" s="41"/>
      <x:c r="B475" s="45"/>
      <x:c r="J475" s="53"/>
      <x:c r="L475" s="41"/>
    </x:row>
    <x:row r="476">
      <x:c r="A476" s="41"/>
      <x:c r="B476" s="45"/>
      <x:c r="J476" s="53"/>
      <x:c r="L476" s="41"/>
    </x:row>
    <x:row r="477">
      <x:c r="A477" s="41"/>
      <x:c r="B477" s="45"/>
      <x:c r="J477" s="53"/>
      <x:c r="L477" s="41"/>
    </x:row>
    <x:row r="478">
      <x:c r="A478" s="41"/>
      <x:c r="B478" s="45"/>
      <x:c r="J478" s="53"/>
      <x:c r="L478" s="41"/>
    </x:row>
    <x:row r="479">
      <x:c r="A479" s="41"/>
      <x:c r="B479" s="45"/>
      <x:c r="J479" s="53"/>
      <x:c r="L479" s="41"/>
    </x:row>
    <x:row r="480">
      <x:c r="A480" s="41"/>
      <x:c r="B480" s="45"/>
      <x:c r="J480" s="53"/>
      <x:c r="L480" s="41"/>
    </x:row>
    <x:row r="481">
      <x:c r="A481" s="41"/>
      <x:c r="B481" s="45"/>
      <x:c r="J481" s="53"/>
      <x:c r="L481" s="41"/>
    </x:row>
    <x:row r="482">
      <x:c r="A482" s="41"/>
      <x:c r="B482" s="45"/>
      <x:c r="J482" s="53"/>
      <x:c r="L482" s="41"/>
    </x:row>
    <x:row r="483">
      <x:c r="A483" s="41"/>
      <x:c r="B483" s="45"/>
      <x:c r="J483" s="53"/>
      <x:c r="L483" s="41"/>
    </x:row>
    <x:row r="484">
      <x:c r="A484" s="41"/>
      <x:c r="B484" s="45"/>
      <x:c r="J484" s="53"/>
      <x:c r="L484" s="41"/>
    </x:row>
    <x:row r="485">
      <x:c r="A485" s="41"/>
      <x:c r="B485" s="45"/>
      <x:c r="J485" s="53"/>
      <x:c r="L485" s="41"/>
    </x:row>
    <x:row r="486">
      <x:c r="A486" s="41"/>
      <x:c r="B486" s="45"/>
      <x:c r="J486" s="53"/>
      <x:c r="L486" s="41"/>
    </x:row>
    <x:row r="487">
      <x:c r="A487" s="41"/>
      <x:c r="B487" s="45"/>
      <x:c r="J487" s="53"/>
      <x:c r="L487" s="41"/>
    </x:row>
    <x:row r="488">
      <x:c r="A488" s="41"/>
      <x:c r="B488" s="45"/>
      <x:c r="J488" s="53"/>
      <x:c r="L488" s="41"/>
    </x:row>
    <x:row r="489">
      <x:c r="A489" s="41"/>
      <x:c r="B489" s="45"/>
      <x:c r="J489" s="53"/>
      <x:c r="L489" s="41"/>
    </x:row>
    <x:row r="490">
      <x:c r="A490" s="41"/>
      <x:c r="B490" s="45"/>
      <x:c r="J490" s="53"/>
      <x:c r="L490" s="41"/>
    </x:row>
    <x:row r="491">
      <x:c r="A491" s="41"/>
      <x:c r="B491" s="45"/>
      <x:c r="J491" s="53"/>
      <x:c r="L491" s="41"/>
    </x:row>
    <x:row r="492">
      <x:c r="A492" s="41"/>
      <x:c r="B492" s="45"/>
      <x:c r="J492" s="53"/>
      <x:c r="L492" s="41"/>
    </x:row>
    <x:row r="493">
      <x:c r="A493" s="41"/>
      <x:c r="B493" s="45"/>
      <x:c r="J493" s="53"/>
      <x:c r="L493" s="41"/>
    </x:row>
    <x:row r="494">
      <x:c r="A494" s="41"/>
      <x:c r="B494" s="45"/>
      <x:c r="J494" s="53"/>
      <x:c r="L494" s="41"/>
    </x:row>
    <x:row r="495">
      <x:c r="A495" s="41"/>
      <x:c r="B495" s="45"/>
      <x:c r="J495" s="53"/>
      <x:c r="L495" s="41"/>
    </x:row>
    <x:row r="496">
      <x:c r="A496" s="41"/>
      <x:c r="B496" s="45"/>
      <x:c r="J496" s="53"/>
      <x:c r="L496" s="41"/>
    </x:row>
    <x:row r="497">
      <x:c r="A497" s="41"/>
      <x:c r="B497" s="45"/>
      <x:c r="J497" s="53"/>
      <x:c r="L497" s="41"/>
    </x:row>
    <x:row r="498">
      <x:c r="A498" s="41"/>
      <x:c r="B498" s="45"/>
      <x:c r="J498" s="53"/>
      <x:c r="L498" s="41"/>
    </x:row>
    <x:row r="499">
      <x:c r="A499" s="41"/>
      <x:c r="B499" s="45"/>
      <x:c r="J499" s="53"/>
      <x:c r="L499" s="41"/>
    </x:row>
    <x:row r="500">
      <x:c r="A500" s="41"/>
      <x:c r="B500" s="45"/>
      <x:c r="J500" s="53"/>
      <x:c r="L500" s="41"/>
    </x:row>
    <x:row r="501">
      <x:c r="A501" s="41"/>
      <x:c r="B501" s="45"/>
      <x:c r="J501" s="53"/>
      <x:c r="L501" s="41"/>
    </x:row>
    <x:row r="502">
      <x:c r="A502" s="41"/>
      <x:c r="B502" s="45"/>
      <x:c r="J502" s="53"/>
      <x:c r="L502" s="41"/>
    </x:row>
    <x:row r="503">
      <x:c r="A503" s="41"/>
      <x:c r="B503" s="45"/>
      <x:c r="J503" s="53"/>
      <x:c r="L503" s="41"/>
    </x:row>
  </x:sheetData>
  <x:mergeCells>
    <x:mergeCell ref="A1:V1"/>
    <x:mergeCell ref="A2:V2"/>
  </x:mergeCells>
  <x:conditionalFormatting sqref="V5:V503">
    <x:cfRule type="expression" dxfId="5" priority="1">
      <x:formula>V5="Uygun"</x:formula>
    </x:cfRule>
    <x:cfRule type="expression" dxfId="6" priority="2">
      <x:formula>AND(V5&lt;&gt;"",V5&lt;&gt;"Uygun")</x:formula>
    </x:cfRule>
  </x:conditionalFormatting>
  <x:conditionalFormatting sqref="J5:J503">
    <x:cfRule type="expression" dxfId="7" priority="3">
      <x:formula>AND(J5&lt;&gt;"",J5&lt;60%)</x:formula>
    </x:cfRule>
    <x:cfRule type="expression" dxfId="8" priority="4">
      <x:formula>AND(J5&gt;=60%,J5&lt;75%)</x:formula>
    </x:cfRule>
    <x:cfRule type="expression" dxfId="9" priority="5">
      <x:formula>AND(J5&gt;=75%,J5&lt;&gt;"")</x:formula>
    </x:cfRule>
  </x:conditionalFormatting>
  <x:dataValidations count="7">
    <x:dataValidation operator="between" sqref="B5:B503">
      <x:formula1>1</x:formula1>
      <x:formula2>9999</x:formula2>
    </x:dataValidation>
    <x:dataValidation type="list" sqref="M5:M503">
      <x:formula1>"Verildi,Tamamlandı,Eksik,Yapılmadı,Kontrol edildi"</x:formula1>
    </x:dataValidation>
    <x:dataValidation type="list" sqref="N5:N503">
      <x:formula1>"Başlanmadı,Anlatıldı,Soru çözülüyor,Tekrar gerekli,Tamamlandı"</x:formula1>
    </x:dataValidation>
    <x:dataValidation type="list" sqref="O5:O503">
      <x:formula1>"Konuyu öğrendi,Tekrar gerekli,İşlem hatası fazla,Dikkat sorunu,Temel eksik,Ödev eksik,Süre problemi,Yeni nesil sorularda zorlanıyor"</x:formula1>
    </x:dataValidation>
    <x:dataValidation type="list" sqref="R5:R503">
      <x:formula1>"Hayır,Evet"</x:formula1>
    </x:dataValidation>
    <x:dataValidation type="list" sqref="S5:S503">
      <x:formula1>"40,50,60,75,90"</x:formula1>
    </x:dataValidation>
    <x:dataValidation type="list" sqref="T5:T503">
      <x:formula1>"Mevcut Kayıt,Excel Girişi,Google Form,Google Sheets,CSV İçe Aktarım"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7cb28a78674a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3" hidden="0" customWidth="1"/>
    <x:col min="4" max="4" width="17" hidden="0" customWidth="1"/>
    <x:col min="5" max="5" width="32" hidden="0" customWidth="1"/>
    <x:col min="6" max="6" width="18" hidden="0" customWidth="1"/>
    <x:col min="7" max="7" width="15" hidden="0" customWidth="1"/>
    <x:col min="8" max="8" width="12" hidden="0" customWidth="1"/>
    <x:col min="9" max="9" width="22" hidden="0" customWidth="1"/>
    <x:col min="10" max="10" width="18" hidden="0" customWidth="1"/>
    <x:col min="11" max="11" width="18" hidden="0" customWidth="1"/>
  </x:cols>
  <x:sheetData>
    <x:row r="1" ht="26" customHeight="1">
      <x:c r="A1" s="5" t="str">
        <x:v>ÖDEV VE KONU TAKİBİ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13" t="str">
        <x:v>İki eski sekme birleştirildi. Üst bölüm ödev, alt bölüm konu takibidir.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62" t="str">
        <x:v>ÖDEV TAKİBİ</x:v>
      </x:c>
      <x:c r="B4" s="62"/>
      <x:c r="C4" s="62"/>
      <x:c r="D4" s="62"/>
      <x:c r="E4" s="62"/>
      <x:c r="F4" s="62"/>
      <x:c r="G4" s="62"/>
      <x:c r="H4" s="62"/>
      <x:c r="I4" s="62"/>
      <x:c r="J4" s="62"/>
      <x:c r="K4" s="62"/>
    </x:row>
    <x:row r="5">
      <x:c r="A5" s="22" t="str">
        <x:v>Veriliş Tarihi</x:v>
      </x:c>
      <x:c r="B5" s="22" t="str">
        <x:v>Öğrenci Kodu</x:v>
      </x:c>
      <x:c r="C5" s="22" t="str">
        <x:v>Ad Soyad</x:v>
      </x:c>
      <x:c r="D5" s="22" t="str">
        <x:v>Ders</x:v>
      </x:c>
      <x:c r="E5" s="22" t="str">
        <x:v>Ödev / Konu</x:v>
      </x:c>
      <x:c r="F5" s="22" t="str">
        <x:v>Son Tarih</x:v>
      </x:c>
      <x:c r="G5" s="22" t="str">
        <x:v>Durum</x:v>
      </x:c>
      <x:c r="H5" s="22" t="str">
        <x:v>Başarı %</x:v>
      </x:c>
      <x:c r="I5" s="22" t="str">
        <x:v>Risk</x:v>
      </x:c>
      <x:c r="J5" s="22" t="str">
        <x:v>Kayıt Kaynağı</x:v>
      </x:c>
      <x:c r="K5" s="22" t="str">
        <x:v>Kayıt Kontrolü</x:v>
      </x:c>
    </x:row>
    <x:row r="6">
      <x:c r="A6" s="40" t="n">
        <x:v>46225</x:v>
      </x:c>
      <x:c r="B6" s="44" t="n">
        <x:v>1</x:v>
      </x:c>
      <x:c r="C6" s="36" t="str">
        <x:f>IF(B6="","",IFERROR(INDEX('02_Öğrenciler'!$B$5:$B$203,MATCH(B6,'02_Öğrenciler'!$A$5:$A$203,0)),"KOD HATALI"))</x:f>
        <x:v>Ahmet Yılmaz</x:v>
      </x:c>
      <x:c r="D6" s="30" t="str">
        <x:v>Matematik</x:v>
      </x:c>
      <x:c r="E6" s="30" t="str">
        <x:v>Üslü İfadeler Test 4-5</x:v>
      </x:c>
      <x:c r="F6" s="40" t="n">
        <x:v>46228</x:v>
      </x:c>
      <x:c r="G6" s="30" t="str">
        <x:v>Eksik</x:v>
      </x:c>
      <x:c r="H6" s="66" t="n">
        <x:v>0.6</x:v>
      </x:c>
      <x:c r="I6" s="36" t="str">
        <x:f>IF(B6="","",IF(OR(G6="Yapılmadı",G6="Eksik"),"DİSİPLİN UYARISI",IF(AND(F6&lt;&gt;"",TODAY()&gt;F6,G6&lt;&gt;"Tamamlandı",G6&lt;&gt;"Kontrol edildi"),"GECİKMİŞ","Uygun")))</x:f>
        <x:v>DİSİPLİN UYARISI</x:v>
      </x:c>
      <x:c r="J6" s="36" t="str">
        <x:v>Mevcut Kayıt</x:v>
      </x:c>
      <x:c r="K6" s="36" t="str">
        <x:f>IF(A6="","",IF(OR(A6&lt;DATE(2020,1,1),F6&lt;DATE(2020,1,1)),"Tarih Hatası",IF(COUNTIF('02_Öğrenciler'!$A$5:$A$203,B6)=0,"Öğrenci Kodu Hatalı",IF(OR(D6="",E6="",F6="",G6=""),"Eksik Alan",IF(F6&lt;A6,"Tarih Hatası","Uygun")))))</x:f>
        <x:v>Uygun</x:v>
      </x:c>
    </x:row>
    <x:row r="7">
      <x:c r="A7" s="40" t="n">
        <x:v>46221</x:v>
      </x:c>
      <x:c r="B7" s="44" t="n">
        <x:v>1</x:v>
      </x:c>
      <x:c r="C7" s="36" t="str">
        <x:f>IF(B7="","",IFERROR(INDEX('02_Öğrenciler'!$B$5:$B$203,MATCH(B7,'02_Öğrenciler'!$A$5:$A$203,0)),"KOD HATALI"))</x:f>
        <x:v>Ahmet Yılmaz</x:v>
      </x:c>
      <x:c r="D7" s="30" t="str">
        <x:v>Matematik</x:v>
      </x:c>
      <x:c r="E7" s="30" t="str">
        <x:v>Üslü İfadeler Test 1-3</x:v>
      </x:c>
      <x:c r="F7" s="40" t="n">
        <x:v>46224</x:v>
      </x:c>
      <x:c r="G7" s="30" t="str">
        <x:v>Tamamlandı</x:v>
      </x:c>
      <x:c r="H7" s="66" t="n">
        <x:v>0.85</x:v>
      </x:c>
      <x:c r="I7" s="36" t="str">
        <x:f>IF(B7="","",IF(OR(G7="Yapılmadı",G7="Eksik"),"DİSİPLİN UYARISI",IF(AND(F7&lt;&gt;"",TODAY()&gt;F7,G7&lt;&gt;"Tamamlandı",G7&lt;&gt;"Kontrol edildi"),"GECİKMİŞ","Uygun")))</x:f>
        <x:v>Uygun</x:v>
      </x:c>
      <x:c r="J7" s="36" t="str">
        <x:v>Mevcut Kayıt</x:v>
      </x:c>
      <x:c r="K7" s="36" t="str">
        <x:f>IF(A7="","",IF(OR(A7&lt;DATE(2020,1,1),F7&lt;DATE(2020,1,1)),"Tarih Hatası",IF(COUNTIF('02_Öğrenciler'!$A$5:$A$203,B7)=0,"Öğrenci Kodu Hatalı",IF(OR(D7="",E7="",F7="",G7=""),"Eksik Alan",IF(F7&lt;A7,"Tarih Hatası","Uygun")))))</x:f>
        <x:v>Uygun</x:v>
      </x:c>
    </x:row>
    <x:row r="8">
      <x:c r="A8" s="40" t="n">
        <x:v>46223</x:v>
      </x:c>
      <x:c r="B8" s="44" t="n">
        <x:v>2</x:v>
      </x:c>
      <x:c r="C8" s="36" t="str">
        <x:f>IF(B8="","",IFERROR(INDEX('02_Öğrenciler'!$B$5:$B$203,MATCH(B8,'02_Öğrenciler'!$A$5:$A$203,0)),"KOD HATALI"))</x:f>
        <x:v>Zeynep Kaya</x:v>
      </x:c>
      <x:c r="D8" s="30" t="str">
        <x:v>Matematik</x:v>
      </x:c>
      <x:c r="E8" s="30" t="str">
        <x:v>Karekök Fasikülü s.40-48</x:v>
      </x:c>
      <x:c r="F8" s="40" t="n">
        <x:v>46226</x:v>
      </x:c>
      <x:c r="G8" s="30" t="str">
        <x:v>Tamamlandı</x:v>
      </x:c>
      <x:c r="H8" s="66" t="n">
        <x:v>0.95</x:v>
      </x:c>
      <x:c r="I8" s="36" t="str">
        <x:f>IF(B8="","",IF(OR(G8="Yapılmadı",G8="Eksik"),"DİSİPLİN UYARISI",IF(AND(F8&lt;&gt;"",TODAY()&gt;F8,G8&lt;&gt;"Tamamlandı",G8&lt;&gt;"Kontrol edildi"),"GECİKMİŞ","Uygun")))</x:f>
        <x:v>Uygun</x:v>
      </x:c>
      <x:c r="J8" s="36" t="str">
        <x:v>Mevcut Kayıt</x:v>
      </x:c>
      <x:c r="K8" s="36" t="str">
        <x:f>IF(A8="","",IF(OR(A8&lt;DATE(2020,1,1),F8&lt;DATE(2020,1,1)),"Tarih Hatası",IF(COUNTIF('02_Öğrenciler'!$A$5:$A$203,B8)=0,"Öğrenci Kodu Hatalı",IF(OR(D8="",E8="",F8="",G8=""),"Eksik Alan",IF(F8&lt;A8,"Tarih Hatası","Uygun")))))</x:f>
        <x:v>Uygun</x:v>
      </x:c>
    </x:row>
    <x:row r="9">
      <x:c r="A9" s="40" t="n">
        <x:v>46222</x:v>
      </x:c>
      <x:c r="B9" s="44" t="n">
        <x:v>3</x:v>
      </x:c>
      <x:c r="C9" s="36" t="str">
        <x:f>IF(B9="","",IFERROR(INDEX('02_Öğrenciler'!$B$5:$B$203,MATCH(B9,'02_Öğrenciler'!$A$5:$A$203,0)),"KOD HATALI"))</x:f>
        <x:v>Mehmet Demir</x:v>
      </x:c>
      <x:c r="D9" s="30" t="str">
        <x:v>Matematik</x:v>
      </x:c>
      <x:c r="E9" s="30" t="str">
        <x:v>Çarpanlar Katlar 3 Test</x:v>
      </x:c>
      <x:c r="F9" s="40" t="n">
        <x:v>46225</x:v>
      </x:c>
      <x:c r="G9" s="30" t="str">
        <x:v>Yapılmadı</x:v>
      </x:c>
      <x:c r="H9" s="66" t="n">
        <x:v>0</x:v>
      </x:c>
      <x:c r="I9" s="36" t="str">
        <x:f>IF(B9="","",IF(OR(G9="Yapılmadı",G9="Eksik"),"DİSİPLİN UYARISI",IF(AND(F9&lt;&gt;"",TODAY()&gt;F9,G9&lt;&gt;"Tamamlandı",G9&lt;&gt;"Kontrol edildi"),"GECİKMİŞ","Uygun")))</x:f>
        <x:v>DİSİPLİN UYARISI</x:v>
      </x:c>
      <x:c r="J9" s="36" t="str">
        <x:v>Mevcut Kayıt</x:v>
      </x:c>
      <x:c r="K9" s="36" t="str">
        <x:f>IF(A9="","",IF(OR(A9&lt;DATE(2020,1,1),F9&lt;DATE(2020,1,1)),"Tarih Hatası",IF(COUNTIF('02_Öğrenciler'!$A$5:$A$203,B9)=0,"Öğrenci Kodu Hatalı",IF(OR(D9="",E9="",F9="",G9=""),"Eksik Alan",IF(F9&lt;A9,"Tarih Hatası","Uygun")))))</x:f>
        <x:v>Uygun</x:v>
      </x:c>
    </x:row>
    <x:row r="10">
      <x:c r="A10" s="40" t="n">
        <x:v>46218</x:v>
      </x:c>
      <x:c r="B10" s="44" t="n">
        <x:v>3</x:v>
      </x:c>
      <x:c r="C10" s="36" t="str">
        <x:f>IF(B10="","",IFERROR(INDEX('02_Öğrenciler'!$B$5:$B$203,MATCH(B10,'02_Öğrenciler'!$A$5:$A$203,0)),"KOD HATALI"))</x:f>
        <x:v>Mehmet Demir</x:v>
      </x:c>
      <x:c r="D10" s="30" t="str">
        <x:v>Matematik</x:v>
      </x:c>
      <x:c r="E10" s="30" t="str">
        <x:v>Çarpanlar Katlar Giriş</x:v>
      </x:c>
      <x:c r="F10" s="40" t="n">
        <x:v>46221</x:v>
      </x:c>
      <x:c r="G10" s="30" t="str">
        <x:v>Eksik</x:v>
      </x:c>
      <x:c r="H10" s="66" t="n">
        <x:v>0.5</x:v>
      </x:c>
      <x:c r="I10" s="36" t="str">
        <x:f>IF(B10="","",IF(OR(G10="Yapılmadı",G10="Eksik"),"DİSİPLİN UYARISI",IF(AND(F10&lt;&gt;"",TODAY()&gt;F10,G10&lt;&gt;"Tamamlandı",G10&lt;&gt;"Kontrol edildi"),"GECİKMİŞ","Uygun")))</x:f>
        <x:v>DİSİPLİN UYARISI</x:v>
      </x:c>
      <x:c r="J10" s="36" t="str">
        <x:v>Mevcut Kayıt</x:v>
      </x:c>
      <x:c r="K10" s="36" t="str">
        <x:f>IF(A10="","",IF(OR(A10&lt;DATE(2020,1,1),F10&lt;DATE(2020,1,1)),"Tarih Hatası",IF(COUNTIF('02_Öğrenciler'!$A$5:$A$203,B10)=0,"Öğrenci Kodu Hatalı",IF(OR(D10="",E10="",F10="",G10=""),"Eksik Alan",IF(F10&lt;A10,"Tarih Hatası","Uygun")))))</x:f>
        <x:v>Uygun</x:v>
      </x:c>
    </x:row>
    <x:row r="11">
      <x:c r="A11" s="40"/>
      <x:c r="B11" s="44"/>
      <x:c r="C11" s="36" t="str">
        <x:f>IF(B11="","",IFERROR(INDEX('02_Öğrenciler'!$B$5:$B$203,MATCH(B11,'02_Öğrenciler'!$A$5:$A$203,0)),"KOD HATALI"))</x:f>
      </x:c>
      <x:c r="D11" s="30"/>
      <x:c r="E11" s="30"/>
      <x:c r="F11" s="40"/>
      <x:c r="G11" s="30"/>
      <x:c r="H11" s="66"/>
      <x:c r="I11" s="36" t="str">
        <x:f>IF(B11="","",IF(OR(G11="Yapılmadı",G11="Eksik"),"DİSİPLİN UYARISI",IF(AND(F11&lt;&gt;"",TODAY()&gt;F11,G11&lt;&gt;"Tamamlandı",G11&lt;&gt;"Kontrol edildi"),"GECİKMİŞ","Uygun")))</x:f>
      </x:c>
      <x:c r="J11" s="36" t="str">
        <x:f>IF(A11="","","Excel Girişi")</x:f>
      </x:c>
      <x:c r="K11" s="36" t="str">
        <x:f>IF(A11="","",IF(OR(A11&lt;DATE(2020,1,1),F11&lt;DATE(2020,1,1)),"Tarih Hatası",IF(COUNTIF('02_Öğrenciler'!$A$5:$A$203,B11)=0,"Öğrenci Kodu Hatalı",IF(OR(D11="",E11="",F11="",G11=""),"Eksik Alan",IF(F11&lt;A11,"Tarih Hatası","Uygun")))))</x:f>
      </x:c>
    </x:row>
    <x:row r="12">
      <x:c r="A12" s="41"/>
      <x:c r="B12" s="45"/>
      <x:c r="F12" s="41"/>
      <x:c r="H12" s="53"/>
    </x:row>
    <x:row r="13">
      <x:c r="A13" s="41"/>
      <x:c r="B13" s="45"/>
      <x:c r="F13" s="41"/>
      <x:c r="H13" s="53"/>
    </x:row>
    <x:row r="14">
      <x:c r="A14" s="74" t="str">
        <x:v>KONU TAKİBİ</x:v>
      </x:c>
      <x:c r="B14" s="75"/>
      <x:c r="C14" s="62"/>
      <x:c r="D14" s="62"/>
      <x:c r="E14" s="62"/>
      <x:c r="F14" s="74"/>
      <x:c r="G14" s="62"/>
      <x:c r="H14" s="76"/>
      <x:c r="I14" s="62"/>
      <x:c r="J14" s="62"/>
    </x:row>
    <x:row r="15">
      <x:c r="A15" s="98" t="str">
        <x:v>Öğrenci Kodu</x:v>
      </x:c>
      <x:c r="B15" s="99" t="str">
        <x:v>Ad Soyad</x:v>
      </x:c>
      <x:c r="C15" s="22" t="str">
        <x:v>Ders</x:v>
      </x:c>
      <x:c r="D15" s="22" t="str">
        <x:v>Müfredat Konusu</x:v>
      </x:c>
      <x:c r="E15" s="22" t="str">
        <x:v>Durum</x:v>
      </x:c>
      <x:c r="F15" s="98" t="str">
        <x:v>Başarı %</x:v>
      </x:c>
      <x:c r="G15" s="22" t="str">
        <x:v>Son Tekrar</x:v>
      </x:c>
      <x:c r="H15" s="100" t="str">
        <x:v>Sonraki İşlem / Aksiyon</x:v>
      </x:c>
      <x:c r="I15" s="22" t="str">
        <x:v>Kayıt Kaynağı</x:v>
      </x:c>
      <x:c r="J15" s="22" t="str">
        <x:v>Kayıt Kontrolü</x:v>
      </x:c>
    </x:row>
    <x:row r="16">
      <x:c r="A16" s="40" t="n">
        <x:v>1</x:v>
      </x:c>
      <x:c r="B16" s="126" t="str">
        <x:f>IF(A16="","",IFERROR(INDEX('02_Öğrenciler'!$B$5:$B$203,MATCH(A16,'02_Öğrenciler'!$A$5:$A$203,0)),"KOD HATALI"))</x:f>
        <x:v>Ahmet Yılmaz</x:v>
      </x:c>
      <x:c r="C16" s="30" t="str">
        <x:v>Matematik</x:v>
      </x:c>
      <x:c r="D16" s="30" t="str">
        <x:v>Çarpanlar ve Katlar</x:v>
      </x:c>
      <x:c r="E16" s="30" t="str">
        <x:v>Tamamlandı</x:v>
      </x:c>
      <x:c r="F16" s="66" t="n">
        <x:v>0.82</x:v>
      </x:c>
      <x:c r="G16" s="40" t="n">
        <x:v>46221</x:v>
      </x:c>
      <x:c r="H16" s="66" t="str">
        <x:v>Aylık tekrar testi verilecek</x:v>
      </x:c>
      <x:c r="I16" s="30" t="str">
        <x:v>Mevcut Kayıt</x:v>
      </x:c>
      <x:c r="J16" s="36" t="str">
        <x:f>IF(A16="","",IF(COUNTIF('02_Öğrenciler'!$A$5:$A$203,A16)=0,"Öğrenci Kodu Hatalı",IF(OR(C16="",D16="",E16=""),"Eksik Alan","Uygun")))</x:f>
        <x:v>Uygun</x:v>
      </x:c>
    </x:row>
    <x:row r="17">
      <x:c r="A17" s="40" t="n">
        <x:v>1</x:v>
      </x:c>
      <x:c r="B17" s="126" t="str">
        <x:f>IF(A17="","",IFERROR(INDEX('02_Öğrenciler'!$B$5:$B$203,MATCH(A17,'02_Öğrenciler'!$A$5:$A$203,0)),"KOD HATALI"))</x:f>
        <x:v>Ahmet Yılmaz</x:v>
      </x:c>
      <x:c r="C17" s="30" t="str">
        <x:v>Matematik</x:v>
      </x:c>
      <x:c r="D17" s="30" t="str">
        <x:v>Üslü İfadeler</x:v>
      </x:c>
      <x:c r="E17" s="30" t="str">
        <x:v>Soru çözülüyor</x:v>
      </x:c>
      <x:c r="F17" s="66" t="n">
        <x:v>0.65</x:v>
      </x:c>
      <x:c r="G17" s="40" t="n">
        <x:v>46225</x:v>
      </x:c>
      <x:c r="H17" s="66" t="str">
        <x:v>2 test daha çözülecek</x:v>
      </x:c>
      <x:c r="I17" s="30" t="str">
        <x:v>Mevcut Kayıt</x:v>
      </x:c>
      <x:c r="J17" s="36" t="str">
        <x:f>IF(A17="","",IF(COUNTIF('02_Öğrenciler'!$A$5:$A$203,A17)=0,"Öğrenci Kodu Hatalı",IF(OR(C17="",D17="",E17=""),"Eksik Alan","Uygun")))</x:f>
        <x:v>Uygun</x:v>
      </x:c>
    </x:row>
    <x:row r="18">
      <x:c r="A18" s="40" t="n">
        <x:v>1</x:v>
      </x:c>
      <x:c r="B18" s="126" t="str">
        <x:f>IF(A18="","",IFERROR(INDEX('02_Öğrenciler'!$B$5:$B$203,MATCH(A18,'02_Öğrenciler'!$A$5:$A$203,0)),"KOD HATALI"))</x:f>
        <x:v>Ahmet Yılmaz</x:v>
      </x:c>
      <x:c r="C18" s="30" t="str">
        <x:v>Matematik</x:v>
      </x:c>
      <x:c r="D18" s="30" t="str">
        <x:v>Kareköklü İfadeler</x:v>
      </x:c>
      <x:c r="E18" s="30" t="str">
        <x:v>Başlanmadı</x:v>
      </x:c>
      <x:c r="F18" s="66"/>
      <x:c r="G18" s="40"/>
      <x:c r="H18" s="66" t="str">
        <x:v>Sonraki işlenecek konu</x:v>
      </x:c>
      <x:c r="I18" s="30" t="str">
        <x:v>Mevcut Kayıt</x:v>
      </x:c>
      <x:c r="J18" s="36" t="str">
        <x:f>IF(A18="","",IF(COUNTIF('02_Öğrenciler'!$A$5:$A$203,A18)=0,"Öğrenci Kodu Hatalı",IF(OR(C18="",D18="",E18=""),"Eksik Alan","Uygun")))</x:f>
        <x:v>Uygun</x:v>
      </x:c>
    </x:row>
    <x:row r="19">
      <x:c r="A19" s="40" t="n">
        <x:v>2</x:v>
      </x:c>
      <x:c r="B19" s="126" t="str">
        <x:f>IF(A19="","",IFERROR(INDEX('02_Öğrenciler'!$B$5:$B$203,MATCH(A19,'02_Öğrenciler'!$A$5:$A$203,0)),"KOD HATALI"))</x:f>
        <x:v>Zeynep Kaya</x:v>
      </x:c>
      <x:c r="C19" s="30" t="str">
        <x:v>Matematik</x:v>
      </x:c>
      <x:c r="D19" s="30" t="str">
        <x:v>Çarpanlar ve Katlar</x:v>
      </x:c>
      <x:c r="E19" s="30" t="str">
        <x:v>Tamamlandı</x:v>
      </x:c>
      <x:c r="F19" s="66" t="n">
        <x:v>0.95</x:v>
      </x:c>
      <x:c r="G19" s="40" t="n">
        <x:v>46213</x:v>
      </x:c>
      <x:c r="H19" s="66" t="str">
        <x:v>Soru bankası bitti</x:v>
      </x:c>
      <x:c r="I19" s="30" t="str">
        <x:v>Mevcut Kayıt</x:v>
      </x:c>
      <x:c r="J19" s="36" t="str">
        <x:f>IF(A19="","",IF(COUNTIF('02_Öğrenciler'!$A$5:$A$203,A19)=0,"Öğrenci Kodu Hatalı",IF(OR(C19="",D19="",E19=""),"Eksik Alan","Uygun")))</x:f>
        <x:v>Uygun</x:v>
      </x:c>
    </x:row>
    <x:row r="20">
      <x:c r="A20" s="40" t="n">
        <x:v>2</x:v>
      </x:c>
      <x:c r="B20" s="126" t="str">
        <x:f>IF(A20="","",IFERROR(INDEX('02_Öğrenciler'!$B$5:$B$203,MATCH(A20,'02_Öğrenciler'!$A$5:$A$203,0)),"KOD HATALI"))</x:f>
        <x:v>Zeynep Kaya</x:v>
      </x:c>
      <x:c r="C20" s="30" t="str">
        <x:v>Matematik</x:v>
      </x:c>
      <x:c r="D20" s="30" t="str">
        <x:v>Üslü İfadeler</x:v>
      </x:c>
      <x:c r="E20" s="30" t="str">
        <x:v>Tamamlandı</x:v>
      </x:c>
      <x:c r="F20" s="66" t="n">
        <x:v>0.88</x:v>
      </x:c>
      <x:c r="G20" s="40" t="n">
        <x:v>46222</x:v>
      </x:c>
      <x:c r="H20" s="66" t="str">
        <x:v>Yeni nesil denemeler</x:v>
      </x:c>
      <x:c r="I20" s="30" t="str">
        <x:v>Mevcut Kayıt</x:v>
      </x:c>
      <x:c r="J20" s="36" t="str">
        <x:f>IF(A20="","",IF(COUNTIF('02_Öğrenciler'!$A$5:$A$203,A20)=0,"Öğrenci Kodu Hatalı",IF(OR(C20="",D20="",E20=""),"Eksik Alan","Uygun")))</x:f>
        <x:v>Uygun</x:v>
      </x:c>
    </x:row>
    <x:row r="21">
      <x:c r="A21" s="40" t="n">
        <x:v>3</x:v>
      </x:c>
      <x:c r="B21" s="126" t="str">
        <x:f>IF(A21="","",IFERROR(INDEX('02_Öğrenciler'!$B$5:$B$203,MATCH(A21,'02_Öğrenciler'!$A$5:$A$203,0)),"KOD HATALI"))</x:f>
        <x:v>Mehmet Demir</x:v>
      </x:c>
      <x:c r="C21" s="30" t="str">
        <x:v>Matematik</x:v>
      </x:c>
      <x:c r="D21" s="30" t="str">
        <x:v>Çarpanlar ve Katlar</x:v>
      </x:c>
      <x:c r="E21" s="30" t="str">
        <x:v>Tekrar gerekli</x:v>
      </x:c>
      <x:c r="F21" s="66" t="n">
        <x:v>0.58</x:v>
      </x:c>
      <x:c r="G21" s="40" t="n">
        <x:v>46223</x:v>
      </x:c>
      <x:c r="H21" s="66" t="str">
        <x:v>Temel kavrama testi verilecek</x:v>
      </x:c>
      <x:c r="I21" s="30" t="str">
        <x:v>Mevcut Kayıt</x:v>
      </x:c>
      <x:c r="J21" s="36" t="str">
        <x:f>IF(A21="","",IF(COUNTIF('02_Öğrenciler'!$A$5:$A$203,A21)=0,"Öğrenci Kodu Hatalı",IF(OR(C21="",D21="",E21=""),"Eksik Alan","Uygun")))</x:f>
        <x:v>Uygun</x:v>
      </x:c>
    </x:row>
    <x:row r="22">
      <x:c r="A22" s="40"/>
      <x:c r="B22" s="126" t="str">
        <x:f>IF(A22="","",IFERROR(INDEX('02_Öğrenciler'!$B$5:$B$203,MATCH(A22,'02_Öğrenciler'!$A$5:$A$203,0)),"KOD HATALI"))</x:f>
      </x:c>
      <x:c r="C22" s="30"/>
      <x:c r="D22" s="30"/>
      <x:c r="E22" s="30"/>
      <x:c r="F22" s="66"/>
      <x:c r="G22" s="40"/>
      <x:c r="H22" s="66"/>
      <x:c r="I22" s="30" t="str">
        <x:f>IF(A22="","","Excel Girişi")</x:f>
      </x:c>
      <x:c r="J22" s="36" t="str">
        <x:f>IF(A22="","",IF(COUNTIF('02_Öğrenciler'!$A$5:$A$203,A22)=0,"Öğrenci Kodu Hatalı",IF(OR(C22="",D22="",E22=""),"Eksik Alan","Uygun")))</x:f>
      </x:c>
    </x:row>
    <x:row r="23">
      <x:c r="A23" s="41"/>
      <x:c r="B23" s="45"/>
      <x:c r="F23" s="53"/>
      <x:c r="G23" s="41"/>
      <x:c r="H23" s="53"/>
    </x:row>
    <x:row r="24">
      <x:c r="A24" s="41"/>
      <x:c r="B24" s="45"/>
      <x:c r="F24" s="53"/>
      <x:c r="G24" s="41"/>
      <x:c r="H24" s="53"/>
    </x:row>
    <x:row r="25">
      <x:c r="A25" s="41"/>
      <x:c r="B25" s="45"/>
      <x:c r="F25" s="53"/>
      <x:c r="G25" s="41"/>
      <x:c r="H25" s="53"/>
    </x:row>
    <x:row r="26">
      <x:c r="A26" s="41"/>
      <x:c r="B26" s="45"/>
      <x:c r="F26" s="53"/>
      <x:c r="G26" s="41"/>
      <x:c r="H26" s="53"/>
    </x:row>
    <x:row r="27">
      <x:c r="A27" s="41"/>
      <x:c r="B27" s="45"/>
      <x:c r="F27" s="53"/>
      <x:c r="G27" s="41"/>
      <x:c r="H27" s="53"/>
    </x:row>
    <x:row r="28">
      <x:c r="A28" s="41"/>
      <x:c r="B28" s="45"/>
      <x:c r="F28" s="53"/>
      <x:c r="G28" s="41"/>
      <x:c r="H28" s="53"/>
    </x:row>
    <x:row r="29">
      <x:c r="A29" s="41"/>
      <x:c r="B29" s="45"/>
      <x:c r="F29" s="53"/>
      <x:c r="G29" s="41"/>
      <x:c r="H29" s="53"/>
    </x:row>
    <x:row r="30">
      <x:c r="A30" s="41"/>
      <x:c r="B30" s="45"/>
      <x:c r="F30" s="53"/>
      <x:c r="G30" s="41"/>
      <x:c r="H30" s="53"/>
    </x:row>
    <x:row r="31">
      <x:c r="A31" s="41"/>
      <x:c r="B31" s="45"/>
      <x:c r="F31" s="53"/>
      <x:c r="G31" s="41"/>
      <x:c r="H31" s="53"/>
    </x:row>
    <x:row r="32">
      <x:c r="A32" s="41"/>
      <x:c r="B32" s="45"/>
      <x:c r="F32" s="53"/>
      <x:c r="G32" s="41"/>
      <x:c r="H32" s="53"/>
    </x:row>
    <x:row r="33">
      <x:c r="A33" s="41"/>
      <x:c r="B33" s="45"/>
      <x:c r="F33" s="53"/>
      <x:c r="G33" s="41"/>
      <x:c r="H33" s="53"/>
    </x:row>
    <x:row r="34">
      <x:c r="A34" s="41"/>
      <x:c r="B34" s="45"/>
      <x:c r="F34" s="53"/>
      <x:c r="G34" s="41"/>
      <x:c r="H34" s="53"/>
    </x:row>
    <x:row r="35">
      <x:c r="A35" s="41"/>
      <x:c r="B35" s="45"/>
      <x:c r="F35" s="53"/>
      <x:c r="G35" s="41"/>
      <x:c r="H35" s="53"/>
    </x:row>
    <x:row r="36">
      <x:c r="A36" s="41"/>
      <x:c r="B36" s="45"/>
      <x:c r="F36" s="53"/>
      <x:c r="G36" s="41"/>
      <x:c r="H36" s="53"/>
    </x:row>
    <x:row r="37">
      <x:c r="A37" s="41"/>
      <x:c r="B37" s="45"/>
      <x:c r="F37" s="53"/>
      <x:c r="G37" s="41"/>
      <x:c r="H37" s="53"/>
    </x:row>
    <x:row r="38">
      <x:c r="A38" s="41"/>
      <x:c r="B38" s="45"/>
      <x:c r="F38" s="53"/>
      <x:c r="G38" s="41"/>
      <x:c r="H38" s="53"/>
    </x:row>
    <x:row r="39">
      <x:c r="A39" s="41"/>
      <x:c r="B39" s="45"/>
      <x:c r="F39" s="53"/>
      <x:c r="G39" s="41"/>
      <x:c r="H39" s="53"/>
    </x:row>
    <x:row r="40">
      <x:c r="A40" s="41"/>
      <x:c r="B40" s="45"/>
      <x:c r="F40" s="53"/>
      <x:c r="G40" s="41"/>
      <x:c r="H40" s="53"/>
    </x:row>
    <x:row r="41">
      <x:c r="A41" s="41"/>
      <x:c r="B41" s="45"/>
      <x:c r="F41" s="53"/>
      <x:c r="G41" s="41"/>
      <x:c r="H41" s="53"/>
    </x:row>
    <x:row r="42">
      <x:c r="A42" s="41"/>
      <x:c r="B42" s="45"/>
      <x:c r="F42" s="53"/>
      <x:c r="G42" s="41"/>
      <x:c r="H42" s="53"/>
    </x:row>
    <x:row r="43">
      <x:c r="A43" s="41"/>
      <x:c r="B43" s="45"/>
      <x:c r="F43" s="53"/>
      <x:c r="G43" s="41"/>
      <x:c r="H43" s="53"/>
    </x:row>
    <x:row r="44">
      <x:c r="A44" s="41"/>
      <x:c r="B44" s="45"/>
      <x:c r="F44" s="53"/>
      <x:c r="G44" s="41"/>
      <x:c r="H44" s="53"/>
    </x:row>
    <x:row r="45">
      <x:c r="A45" s="41"/>
      <x:c r="B45" s="45"/>
      <x:c r="F45" s="53"/>
      <x:c r="G45" s="41"/>
      <x:c r="H45" s="53"/>
    </x:row>
    <x:row r="46">
      <x:c r="A46" s="41"/>
      <x:c r="B46" s="45"/>
      <x:c r="F46" s="53"/>
      <x:c r="G46" s="41"/>
      <x:c r="H46" s="53"/>
    </x:row>
    <x:row r="47">
      <x:c r="A47" s="41"/>
      <x:c r="B47" s="45"/>
      <x:c r="F47" s="53"/>
      <x:c r="G47" s="41"/>
      <x:c r="H47" s="53"/>
    </x:row>
    <x:row r="48">
      <x:c r="A48" s="41"/>
      <x:c r="B48" s="45"/>
      <x:c r="F48" s="53"/>
      <x:c r="G48" s="41"/>
      <x:c r="H48" s="53"/>
    </x:row>
    <x:row r="49">
      <x:c r="A49" s="41"/>
      <x:c r="B49" s="45"/>
      <x:c r="F49" s="53"/>
      <x:c r="G49" s="41"/>
      <x:c r="H49" s="53"/>
    </x:row>
    <x:row r="50">
      <x:c r="A50" s="41"/>
      <x:c r="B50" s="45"/>
      <x:c r="F50" s="53"/>
      <x:c r="G50" s="41"/>
      <x:c r="H50" s="53"/>
    </x:row>
    <x:row r="51">
      <x:c r="A51" s="41"/>
      <x:c r="B51" s="45"/>
      <x:c r="F51" s="53"/>
      <x:c r="G51" s="41"/>
      <x:c r="H51" s="53"/>
    </x:row>
    <x:row r="52">
      <x:c r="A52" s="41"/>
      <x:c r="B52" s="45"/>
      <x:c r="F52" s="53"/>
      <x:c r="G52" s="41"/>
      <x:c r="H52" s="53"/>
    </x:row>
    <x:row r="53">
      <x:c r="A53" s="41"/>
      <x:c r="B53" s="45"/>
      <x:c r="F53" s="53"/>
      <x:c r="G53" s="41"/>
      <x:c r="H53" s="53"/>
    </x:row>
    <x:row r="54">
      <x:c r="A54" s="41"/>
      <x:c r="B54" s="45"/>
      <x:c r="F54" s="53"/>
      <x:c r="G54" s="41"/>
      <x:c r="H54" s="53"/>
    </x:row>
    <x:row r="55">
      <x:c r="A55" s="41"/>
      <x:c r="B55" s="45"/>
      <x:c r="F55" s="53"/>
      <x:c r="G55" s="41"/>
      <x:c r="H55" s="53"/>
    </x:row>
    <x:row r="56">
      <x:c r="A56" s="41"/>
      <x:c r="B56" s="45"/>
      <x:c r="F56" s="53"/>
      <x:c r="G56" s="41"/>
      <x:c r="H56" s="53"/>
    </x:row>
    <x:row r="57">
      <x:c r="A57" s="41"/>
      <x:c r="B57" s="45"/>
      <x:c r="F57" s="53"/>
      <x:c r="G57" s="41"/>
      <x:c r="H57" s="53"/>
    </x:row>
    <x:row r="58">
      <x:c r="A58" s="41"/>
      <x:c r="B58" s="45"/>
      <x:c r="F58" s="53"/>
      <x:c r="G58" s="41"/>
      <x:c r="H58" s="53"/>
    </x:row>
    <x:row r="59">
      <x:c r="A59" s="41"/>
      <x:c r="B59" s="45"/>
      <x:c r="F59" s="53"/>
      <x:c r="G59" s="41"/>
      <x:c r="H59" s="53"/>
    </x:row>
    <x:row r="60">
      <x:c r="A60" s="41"/>
      <x:c r="B60" s="45"/>
      <x:c r="F60" s="53"/>
      <x:c r="G60" s="41"/>
      <x:c r="H60" s="53"/>
    </x:row>
    <x:row r="61">
      <x:c r="A61" s="41"/>
      <x:c r="B61" s="45"/>
      <x:c r="F61" s="53"/>
      <x:c r="G61" s="41"/>
      <x:c r="H61" s="53"/>
    </x:row>
    <x:row r="62">
      <x:c r="A62" s="41"/>
      <x:c r="B62" s="45"/>
      <x:c r="F62" s="53"/>
      <x:c r="G62" s="41"/>
      <x:c r="H62" s="53"/>
    </x:row>
    <x:row r="63">
      <x:c r="A63" s="41"/>
      <x:c r="B63" s="45"/>
      <x:c r="F63" s="53"/>
      <x:c r="G63" s="41"/>
      <x:c r="H63" s="53"/>
    </x:row>
    <x:row r="64">
      <x:c r="A64" s="41"/>
      <x:c r="B64" s="45"/>
      <x:c r="F64" s="53"/>
      <x:c r="G64" s="41"/>
      <x:c r="H64" s="53"/>
    </x:row>
    <x:row r="65">
      <x:c r="A65" s="41"/>
      <x:c r="B65" s="45"/>
      <x:c r="F65" s="53"/>
      <x:c r="G65" s="41"/>
      <x:c r="H65" s="53"/>
    </x:row>
    <x:row r="66">
      <x:c r="A66" s="41"/>
      <x:c r="B66" s="45"/>
      <x:c r="F66" s="53"/>
      <x:c r="G66" s="41"/>
      <x:c r="H66" s="53"/>
    </x:row>
    <x:row r="67">
      <x:c r="A67" s="41"/>
      <x:c r="B67" s="45"/>
      <x:c r="F67" s="53"/>
      <x:c r="G67" s="41"/>
      <x:c r="H67" s="53"/>
    </x:row>
    <x:row r="68">
      <x:c r="A68" s="41"/>
      <x:c r="B68" s="45"/>
      <x:c r="F68" s="53"/>
      <x:c r="G68" s="41"/>
      <x:c r="H68" s="53"/>
    </x:row>
    <x:row r="69">
      <x:c r="A69" s="41"/>
      <x:c r="B69" s="45"/>
      <x:c r="F69" s="53"/>
      <x:c r="G69" s="41"/>
      <x:c r="H69" s="53"/>
    </x:row>
    <x:row r="70">
      <x:c r="A70" s="41"/>
      <x:c r="B70" s="45"/>
      <x:c r="F70" s="53"/>
      <x:c r="G70" s="41"/>
      <x:c r="H70" s="53"/>
    </x:row>
    <x:row r="71">
      <x:c r="A71" s="41"/>
      <x:c r="B71" s="45"/>
      <x:c r="F71" s="53"/>
      <x:c r="G71" s="41"/>
      <x:c r="H71" s="53"/>
    </x:row>
    <x:row r="72">
      <x:c r="A72" s="41"/>
      <x:c r="B72" s="45"/>
      <x:c r="F72" s="53"/>
      <x:c r="G72" s="41"/>
      <x:c r="H72" s="53"/>
    </x:row>
    <x:row r="73">
      <x:c r="A73" s="41"/>
      <x:c r="B73" s="45"/>
      <x:c r="F73" s="53"/>
      <x:c r="G73" s="41"/>
      <x:c r="H73" s="53"/>
    </x:row>
    <x:row r="74">
      <x:c r="A74" s="41"/>
      <x:c r="B74" s="45"/>
      <x:c r="F74" s="53"/>
      <x:c r="G74" s="41"/>
      <x:c r="H74" s="53"/>
    </x:row>
    <x:row r="75">
      <x:c r="A75" s="41"/>
      <x:c r="B75" s="45"/>
      <x:c r="F75" s="53"/>
      <x:c r="G75" s="41"/>
      <x:c r="H75" s="53"/>
    </x:row>
    <x:row r="76">
      <x:c r="A76" s="41"/>
      <x:c r="B76" s="45"/>
      <x:c r="F76" s="53"/>
      <x:c r="G76" s="41"/>
      <x:c r="H76" s="53"/>
    </x:row>
    <x:row r="77">
      <x:c r="A77" s="41"/>
      <x:c r="B77" s="45"/>
      <x:c r="F77" s="53"/>
      <x:c r="G77" s="41"/>
      <x:c r="H77" s="53"/>
    </x:row>
    <x:row r="78">
      <x:c r="A78" s="41"/>
      <x:c r="B78" s="45"/>
      <x:c r="F78" s="53"/>
      <x:c r="G78" s="41"/>
      <x:c r="H78" s="53"/>
    </x:row>
    <x:row r="79">
      <x:c r="A79" s="41"/>
      <x:c r="B79" s="45"/>
      <x:c r="F79" s="53"/>
      <x:c r="G79" s="41"/>
      <x:c r="H79" s="53"/>
    </x:row>
    <x:row r="80">
      <x:c r="A80" s="41"/>
      <x:c r="B80" s="45"/>
      <x:c r="F80" s="53"/>
      <x:c r="G80" s="41"/>
      <x:c r="H80" s="53"/>
    </x:row>
    <x:row r="81">
      <x:c r="A81" s="41"/>
      <x:c r="B81" s="45"/>
      <x:c r="F81" s="53"/>
      <x:c r="G81" s="41"/>
      <x:c r="H81" s="53"/>
    </x:row>
    <x:row r="82">
      <x:c r="A82" s="41"/>
      <x:c r="B82" s="45"/>
      <x:c r="F82" s="53"/>
      <x:c r="G82" s="41"/>
      <x:c r="H82" s="53"/>
    </x:row>
    <x:row r="83">
      <x:c r="A83" s="41"/>
      <x:c r="B83" s="45"/>
      <x:c r="F83" s="53"/>
      <x:c r="G83" s="41"/>
      <x:c r="H83" s="53"/>
    </x:row>
    <x:row r="84">
      <x:c r="A84" s="41"/>
      <x:c r="B84" s="45"/>
      <x:c r="F84" s="53"/>
      <x:c r="G84" s="41"/>
      <x:c r="H84" s="53"/>
    </x:row>
    <x:row r="85">
      <x:c r="A85" s="41"/>
      <x:c r="B85" s="45"/>
      <x:c r="F85" s="53"/>
      <x:c r="G85" s="41"/>
      <x:c r="H85" s="53"/>
    </x:row>
    <x:row r="86">
      <x:c r="A86" s="41"/>
      <x:c r="B86" s="45"/>
      <x:c r="F86" s="53"/>
      <x:c r="G86" s="41"/>
      <x:c r="H86" s="53"/>
    </x:row>
    <x:row r="87">
      <x:c r="A87" s="41"/>
      <x:c r="B87" s="45"/>
      <x:c r="F87" s="53"/>
      <x:c r="G87" s="41"/>
      <x:c r="H87" s="53"/>
    </x:row>
    <x:row r="88">
      <x:c r="A88" s="41"/>
      <x:c r="B88" s="45"/>
      <x:c r="F88" s="53"/>
      <x:c r="G88" s="41"/>
      <x:c r="H88" s="53"/>
    </x:row>
    <x:row r="89">
      <x:c r="A89" s="41"/>
      <x:c r="B89" s="45"/>
      <x:c r="F89" s="53"/>
      <x:c r="G89" s="41"/>
      <x:c r="H89" s="53"/>
    </x:row>
    <x:row r="90">
      <x:c r="A90" s="41"/>
      <x:c r="B90" s="45"/>
      <x:c r="F90" s="53"/>
      <x:c r="G90" s="41"/>
      <x:c r="H90" s="53"/>
    </x:row>
    <x:row r="91">
      <x:c r="A91" s="41"/>
      <x:c r="B91" s="45"/>
      <x:c r="F91" s="53"/>
      <x:c r="G91" s="41"/>
      <x:c r="H91" s="53"/>
    </x:row>
    <x:row r="92">
      <x:c r="A92" s="41"/>
      <x:c r="B92" s="45"/>
      <x:c r="F92" s="53"/>
      <x:c r="G92" s="41"/>
      <x:c r="H92" s="53"/>
    </x:row>
    <x:row r="93">
      <x:c r="A93" s="41"/>
      <x:c r="B93" s="45"/>
      <x:c r="F93" s="53"/>
      <x:c r="G93" s="41"/>
      <x:c r="H93" s="53"/>
    </x:row>
    <x:row r="94">
      <x:c r="A94" s="41"/>
      <x:c r="B94" s="45"/>
      <x:c r="F94" s="53"/>
      <x:c r="G94" s="41"/>
      <x:c r="H94" s="53"/>
    </x:row>
    <x:row r="95">
      <x:c r="A95" s="41"/>
      <x:c r="B95" s="45"/>
      <x:c r="F95" s="53"/>
      <x:c r="G95" s="41"/>
      <x:c r="H95" s="53"/>
    </x:row>
    <x:row r="96">
      <x:c r="A96" s="41"/>
      <x:c r="B96" s="45"/>
      <x:c r="F96" s="53"/>
      <x:c r="G96" s="41"/>
      <x:c r="H96" s="53"/>
    </x:row>
    <x:row r="97">
      <x:c r="A97" s="41"/>
      <x:c r="B97" s="45"/>
      <x:c r="F97" s="53"/>
      <x:c r="G97" s="41"/>
      <x:c r="H97" s="53"/>
    </x:row>
    <x:row r="98">
      <x:c r="A98" s="41"/>
      <x:c r="B98" s="45"/>
      <x:c r="F98" s="53"/>
      <x:c r="G98" s="41"/>
      <x:c r="H98" s="53"/>
    </x:row>
    <x:row r="99">
      <x:c r="A99" s="41"/>
      <x:c r="B99" s="45"/>
      <x:c r="F99" s="53"/>
      <x:c r="G99" s="41"/>
      <x:c r="H99" s="53"/>
    </x:row>
    <x:row r="100">
      <x:c r="A100" s="41"/>
      <x:c r="B100" s="45"/>
      <x:c r="F100" s="53"/>
      <x:c r="G100" s="41"/>
      <x:c r="H100" s="53"/>
    </x:row>
    <x:row r="101">
      <x:c r="A101" s="41"/>
      <x:c r="B101" s="45"/>
      <x:c r="F101" s="53"/>
      <x:c r="G101" s="41"/>
      <x:c r="H101" s="53"/>
    </x:row>
    <x:row r="102">
      <x:c r="A102" s="41"/>
      <x:c r="B102" s="45"/>
      <x:c r="F102" s="53"/>
      <x:c r="G102" s="41"/>
      <x:c r="H102" s="53"/>
    </x:row>
    <x:row r="103">
      <x:c r="A103" s="41"/>
      <x:c r="B103" s="45"/>
      <x:c r="F103" s="53"/>
      <x:c r="G103" s="41"/>
      <x:c r="H103" s="53"/>
    </x:row>
    <x:row r="104">
      <x:c r="A104" s="41"/>
      <x:c r="B104" s="45"/>
      <x:c r="F104" s="53"/>
      <x:c r="G104" s="41"/>
      <x:c r="H104" s="53"/>
    </x:row>
    <x:row r="105">
      <x:c r="A105" s="41"/>
      <x:c r="B105" s="45"/>
      <x:c r="F105" s="53"/>
      <x:c r="G105" s="41"/>
      <x:c r="H105" s="53"/>
    </x:row>
    <x:row r="106">
      <x:c r="A106" s="41"/>
      <x:c r="B106" s="45"/>
      <x:c r="F106" s="53"/>
      <x:c r="G106" s="41"/>
      <x:c r="H106" s="53"/>
    </x:row>
    <x:row r="107">
      <x:c r="A107" s="41"/>
      <x:c r="B107" s="45"/>
      <x:c r="F107" s="53"/>
      <x:c r="G107" s="41"/>
      <x:c r="H107" s="53"/>
    </x:row>
    <x:row r="108">
      <x:c r="A108" s="41"/>
      <x:c r="B108" s="45"/>
      <x:c r="F108" s="53"/>
      <x:c r="G108" s="41"/>
      <x:c r="H108" s="53"/>
    </x:row>
    <x:row r="109">
      <x:c r="A109" s="41"/>
      <x:c r="B109" s="45"/>
      <x:c r="F109" s="53"/>
      <x:c r="G109" s="41"/>
      <x:c r="H109" s="53"/>
    </x:row>
    <x:row r="110">
      <x:c r="A110" s="41"/>
      <x:c r="B110" s="45"/>
      <x:c r="F110" s="53"/>
      <x:c r="G110" s="41"/>
      <x:c r="H110" s="53"/>
    </x:row>
    <x:row r="111">
      <x:c r="A111" s="41"/>
      <x:c r="B111" s="45"/>
      <x:c r="F111" s="53"/>
      <x:c r="G111" s="41"/>
      <x:c r="H111" s="53"/>
    </x:row>
    <x:row r="112">
      <x:c r="A112" s="41"/>
      <x:c r="B112" s="45"/>
      <x:c r="F112" s="53"/>
      <x:c r="G112" s="41"/>
      <x:c r="H112" s="53"/>
    </x:row>
    <x:row r="113">
      <x:c r="A113" s="41"/>
      <x:c r="B113" s="45"/>
      <x:c r="F113" s="53"/>
      <x:c r="G113" s="41"/>
      <x:c r="H113" s="53"/>
    </x:row>
    <x:row r="114">
      <x:c r="A114" s="41"/>
      <x:c r="B114" s="45"/>
      <x:c r="F114" s="53"/>
      <x:c r="G114" s="41"/>
      <x:c r="H114" s="53"/>
    </x:row>
    <x:row r="115">
      <x:c r="A115" s="41"/>
      <x:c r="B115" s="45"/>
      <x:c r="F115" s="53"/>
      <x:c r="G115" s="41"/>
      <x:c r="H115" s="53"/>
    </x:row>
    <x:row r="116">
      <x:c r="A116" s="41"/>
      <x:c r="B116" s="45"/>
      <x:c r="F116" s="53"/>
      <x:c r="G116" s="41"/>
      <x:c r="H116" s="53"/>
    </x:row>
    <x:row r="117">
      <x:c r="A117" s="41"/>
      <x:c r="B117" s="45"/>
      <x:c r="F117" s="53"/>
      <x:c r="G117" s="41"/>
      <x:c r="H117" s="53"/>
    </x:row>
    <x:row r="118">
      <x:c r="A118" s="41"/>
      <x:c r="B118" s="45"/>
      <x:c r="F118" s="53"/>
      <x:c r="G118" s="41"/>
      <x:c r="H118" s="53"/>
    </x:row>
    <x:row r="119">
      <x:c r="A119" s="41"/>
      <x:c r="B119" s="45"/>
      <x:c r="F119" s="53"/>
      <x:c r="G119" s="41"/>
      <x:c r="H119" s="53"/>
    </x:row>
    <x:row r="120">
      <x:c r="A120" s="41"/>
      <x:c r="B120" s="45"/>
      <x:c r="F120" s="53"/>
      <x:c r="G120" s="41"/>
      <x:c r="H120" s="53"/>
    </x:row>
    <x:row r="121">
      <x:c r="A121" s="41"/>
      <x:c r="B121" s="45"/>
      <x:c r="F121" s="53"/>
      <x:c r="G121" s="41"/>
      <x:c r="H121" s="53"/>
    </x:row>
    <x:row r="122">
      <x:c r="A122" s="41"/>
      <x:c r="B122" s="45"/>
      <x:c r="F122" s="53"/>
      <x:c r="G122" s="41"/>
      <x:c r="H122" s="53"/>
    </x:row>
    <x:row r="123">
      <x:c r="A123" s="41"/>
      <x:c r="B123" s="45"/>
      <x:c r="F123" s="53"/>
      <x:c r="G123" s="41"/>
      <x:c r="H123" s="53"/>
    </x:row>
    <x:row r="124">
      <x:c r="A124" s="41"/>
      <x:c r="B124" s="45"/>
      <x:c r="F124" s="53"/>
      <x:c r="G124" s="41"/>
      <x:c r="H124" s="53"/>
    </x:row>
    <x:row r="125">
      <x:c r="A125" s="41"/>
      <x:c r="B125" s="45"/>
      <x:c r="F125" s="53"/>
      <x:c r="G125" s="41"/>
      <x:c r="H125" s="53"/>
    </x:row>
    <x:row r="126">
      <x:c r="A126" s="41"/>
      <x:c r="B126" s="45"/>
      <x:c r="F126" s="53"/>
      <x:c r="G126" s="41"/>
      <x:c r="H126" s="53"/>
    </x:row>
    <x:row r="127">
      <x:c r="A127" s="41"/>
      <x:c r="B127" s="45"/>
      <x:c r="F127" s="53"/>
      <x:c r="G127" s="41"/>
      <x:c r="H127" s="53"/>
    </x:row>
    <x:row r="128">
      <x:c r="A128" s="41"/>
      <x:c r="B128" s="45"/>
      <x:c r="F128" s="53"/>
      <x:c r="G128" s="41"/>
      <x:c r="H128" s="53"/>
    </x:row>
    <x:row r="129">
      <x:c r="A129" s="41"/>
      <x:c r="B129" s="45"/>
      <x:c r="F129" s="53"/>
      <x:c r="G129" s="41"/>
      <x:c r="H129" s="53"/>
    </x:row>
    <x:row r="130">
      <x:c r="A130" s="41"/>
      <x:c r="B130" s="45"/>
      <x:c r="F130" s="53"/>
      <x:c r="G130" s="41"/>
      <x:c r="H130" s="53"/>
    </x:row>
    <x:row r="131">
      <x:c r="A131" s="41"/>
      <x:c r="B131" s="45"/>
      <x:c r="F131" s="53"/>
      <x:c r="G131" s="41"/>
      <x:c r="H131" s="53"/>
    </x:row>
    <x:row r="132">
      <x:c r="A132" s="41"/>
      <x:c r="B132" s="45"/>
      <x:c r="F132" s="53"/>
      <x:c r="G132" s="41"/>
      <x:c r="H132" s="53"/>
    </x:row>
    <x:row r="133">
      <x:c r="A133" s="41"/>
      <x:c r="B133" s="45"/>
      <x:c r="F133" s="53"/>
      <x:c r="G133" s="41"/>
      <x:c r="H133" s="53"/>
    </x:row>
    <x:row r="134">
      <x:c r="A134" s="41"/>
      <x:c r="B134" s="45"/>
      <x:c r="F134" s="53"/>
      <x:c r="G134" s="41"/>
      <x:c r="H134" s="53"/>
    </x:row>
    <x:row r="135">
      <x:c r="A135" s="41"/>
      <x:c r="B135" s="45"/>
      <x:c r="F135" s="53"/>
      <x:c r="G135" s="41"/>
      <x:c r="H135" s="53"/>
    </x:row>
    <x:row r="136">
      <x:c r="A136" s="41"/>
      <x:c r="B136" s="45"/>
      <x:c r="F136" s="53"/>
      <x:c r="G136" s="41"/>
      <x:c r="H136" s="53"/>
    </x:row>
    <x:row r="137">
      <x:c r="A137" s="41"/>
      <x:c r="B137" s="45"/>
      <x:c r="F137" s="53"/>
      <x:c r="G137" s="41"/>
      <x:c r="H137" s="53"/>
    </x:row>
    <x:row r="138">
      <x:c r="A138" s="41"/>
      <x:c r="B138" s="45"/>
      <x:c r="F138" s="53"/>
      <x:c r="G138" s="41"/>
      <x:c r="H138" s="53"/>
    </x:row>
    <x:row r="139">
      <x:c r="A139" s="41"/>
      <x:c r="B139" s="45"/>
      <x:c r="F139" s="53"/>
      <x:c r="G139" s="41"/>
      <x:c r="H139" s="53"/>
    </x:row>
    <x:row r="140">
      <x:c r="A140" s="41"/>
      <x:c r="B140" s="45"/>
      <x:c r="F140" s="53"/>
      <x:c r="G140" s="41"/>
      <x:c r="H140" s="53"/>
    </x:row>
    <x:row r="141">
      <x:c r="A141" s="41"/>
      <x:c r="B141" s="45"/>
      <x:c r="F141" s="53"/>
      <x:c r="G141" s="41"/>
      <x:c r="H141" s="53"/>
    </x:row>
    <x:row r="142">
      <x:c r="A142" s="41"/>
      <x:c r="B142" s="45"/>
      <x:c r="F142" s="53"/>
      <x:c r="G142" s="41"/>
      <x:c r="H142" s="53"/>
    </x:row>
    <x:row r="143">
      <x:c r="A143" s="41"/>
      <x:c r="B143" s="45"/>
      <x:c r="F143" s="53"/>
      <x:c r="G143" s="41"/>
      <x:c r="H143" s="53"/>
    </x:row>
    <x:row r="144">
      <x:c r="A144" s="41"/>
      <x:c r="B144" s="45"/>
      <x:c r="F144" s="53"/>
      <x:c r="G144" s="41"/>
      <x:c r="H144" s="53"/>
    </x:row>
    <x:row r="145">
      <x:c r="A145" s="41"/>
      <x:c r="B145" s="45"/>
      <x:c r="F145" s="53"/>
      <x:c r="G145" s="41"/>
      <x:c r="H145" s="53"/>
    </x:row>
    <x:row r="146">
      <x:c r="A146" s="41"/>
      <x:c r="B146" s="45"/>
      <x:c r="F146" s="53"/>
      <x:c r="G146" s="41"/>
      <x:c r="H146" s="53"/>
    </x:row>
    <x:row r="147">
      <x:c r="A147" s="41"/>
      <x:c r="B147" s="45"/>
      <x:c r="F147" s="53"/>
      <x:c r="G147" s="41"/>
      <x:c r="H147" s="53"/>
    </x:row>
    <x:row r="148">
      <x:c r="A148" s="41"/>
      <x:c r="B148" s="45"/>
      <x:c r="F148" s="53"/>
      <x:c r="G148" s="41"/>
      <x:c r="H148" s="53"/>
    </x:row>
    <x:row r="149">
      <x:c r="A149" s="41"/>
      <x:c r="B149" s="45"/>
      <x:c r="F149" s="53"/>
      <x:c r="G149" s="41"/>
      <x:c r="H149" s="53"/>
    </x:row>
    <x:row r="150">
      <x:c r="A150" s="41"/>
      <x:c r="B150" s="45"/>
      <x:c r="F150" s="53"/>
      <x:c r="G150" s="41"/>
      <x:c r="H150" s="53"/>
    </x:row>
    <x:row r="151">
      <x:c r="A151" s="41"/>
      <x:c r="B151" s="45"/>
      <x:c r="F151" s="53"/>
      <x:c r="G151" s="41"/>
      <x:c r="H151" s="53"/>
    </x:row>
    <x:row r="152">
      <x:c r="A152" s="41"/>
      <x:c r="B152" s="45"/>
      <x:c r="F152" s="53"/>
      <x:c r="G152" s="41"/>
      <x:c r="H152" s="53"/>
    </x:row>
    <x:row r="153">
      <x:c r="A153" s="41"/>
      <x:c r="B153" s="45"/>
      <x:c r="F153" s="53"/>
      <x:c r="G153" s="41"/>
      <x:c r="H153" s="53"/>
    </x:row>
    <x:row r="154">
      <x:c r="A154" s="41"/>
      <x:c r="B154" s="45"/>
      <x:c r="F154" s="53"/>
      <x:c r="G154" s="41"/>
      <x:c r="H154" s="53"/>
    </x:row>
    <x:row r="155">
      <x:c r="A155" s="41"/>
      <x:c r="B155" s="45"/>
      <x:c r="F155" s="53"/>
      <x:c r="G155" s="41"/>
      <x:c r="H155" s="53"/>
    </x:row>
    <x:row r="156">
      <x:c r="A156" s="41"/>
      <x:c r="B156" s="45"/>
      <x:c r="F156" s="53"/>
      <x:c r="G156" s="41"/>
      <x:c r="H156" s="53"/>
    </x:row>
    <x:row r="157">
      <x:c r="A157" s="41"/>
      <x:c r="B157" s="45"/>
      <x:c r="F157" s="53"/>
      <x:c r="G157" s="41"/>
      <x:c r="H157" s="53"/>
    </x:row>
    <x:row r="158">
      <x:c r="A158" s="41"/>
      <x:c r="B158" s="45"/>
      <x:c r="F158" s="53"/>
      <x:c r="G158" s="41"/>
      <x:c r="H158" s="53"/>
    </x:row>
    <x:row r="159">
      <x:c r="A159" s="41"/>
      <x:c r="B159" s="45"/>
      <x:c r="F159" s="53"/>
      <x:c r="G159" s="41"/>
      <x:c r="H159" s="53"/>
    </x:row>
    <x:row r="160">
      <x:c r="A160" s="41"/>
      <x:c r="B160" s="45"/>
      <x:c r="F160" s="53"/>
      <x:c r="G160" s="41"/>
      <x:c r="H160" s="53"/>
    </x:row>
    <x:row r="161">
      <x:c r="A161" s="41"/>
      <x:c r="B161" s="45"/>
      <x:c r="F161" s="53"/>
      <x:c r="G161" s="41"/>
      <x:c r="H161" s="53"/>
    </x:row>
    <x:row r="162">
      <x:c r="A162" s="41"/>
      <x:c r="B162" s="45"/>
      <x:c r="F162" s="53"/>
      <x:c r="G162" s="41"/>
      <x:c r="H162" s="53"/>
    </x:row>
    <x:row r="163">
      <x:c r="A163" s="41"/>
      <x:c r="B163" s="45"/>
      <x:c r="F163" s="53"/>
      <x:c r="G163" s="41"/>
      <x:c r="H163" s="53"/>
    </x:row>
    <x:row r="164">
      <x:c r="A164" s="41"/>
      <x:c r="B164" s="45"/>
      <x:c r="F164" s="53"/>
      <x:c r="G164" s="41"/>
      <x:c r="H164" s="53"/>
    </x:row>
    <x:row r="165">
      <x:c r="A165" s="41"/>
      <x:c r="B165" s="45"/>
      <x:c r="F165" s="53"/>
      <x:c r="G165" s="41"/>
      <x:c r="H165" s="53"/>
    </x:row>
    <x:row r="166">
      <x:c r="A166" s="41"/>
      <x:c r="B166" s="45"/>
      <x:c r="F166" s="53"/>
      <x:c r="G166" s="41"/>
      <x:c r="H166" s="53"/>
    </x:row>
    <x:row r="167">
      <x:c r="A167" s="41"/>
      <x:c r="B167" s="45"/>
      <x:c r="F167" s="53"/>
      <x:c r="G167" s="41"/>
      <x:c r="H167" s="53"/>
    </x:row>
    <x:row r="168">
      <x:c r="A168" s="41"/>
      <x:c r="B168" s="45"/>
      <x:c r="F168" s="53"/>
      <x:c r="G168" s="41"/>
      <x:c r="H168" s="53"/>
    </x:row>
    <x:row r="169">
      <x:c r="A169" s="41"/>
      <x:c r="B169" s="45"/>
      <x:c r="F169" s="53"/>
      <x:c r="G169" s="41"/>
      <x:c r="H169" s="53"/>
    </x:row>
    <x:row r="170">
      <x:c r="A170" s="41"/>
      <x:c r="B170" s="45"/>
      <x:c r="F170" s="53"/>
      <x:c r="G170" s="41"/>
      <x:c r="H170" s="53"/>
    </x:row>
    <x:row r="171">
      <x:c r="A171" s="41"/>
      <x:c r="B171" s="45"/>
      <x:c r="F171" s="53"/>
      <x:c r="G171" s="41"/>
      <x:c r="H171" s="53"/>
    </x:row>
    <x:row r="172">
      <x:c r="A172" s="41"/>
      <x:c r="B172" s="45"/>
      <x:c r="F172" s="53"/>
      <x:c r="G172" s="41"/>
      <x:c r="H172" s="53"/>
    </x:row>
    <x:row r="173">
      <x:c r="A173" s="41"/>
      <x:c r="B173" s="45"/>
      <x:c r="F173" s="53"/>
      <x:c r="G173" s="41"/>
      <x:c r="H173" s="53"/>
    </x:row>
    <x:row r="174">
      <x:c r="A174" s="41"/>
      <x:c r="B174" s="45"/>
      <x:c r="F174" s="53"/>
      <x:c r="G174" s="41"/>
      <x:c r="H174" s="53"/>
    </x:row>
    <x:row r="175">
      <x:c r="A175" s="41"/>
      <x:c r="B175" s="45"/>
      <x:c r="F175" s="53"/>
      <x:c r="G175" s="41"/>
      <x:c r="H175" s="53"/>
    </x:row>
    <x:row r="176">
      <x:c r="A176" s="41"/>
      <x:c r="B176" s="45"/>
      <x:c r="F176" s="53"/>
      <x:c r="G176" s="41"/>
      <x:c r="H176" s="53"/>
    </x:row>
    <x:row r="177">
      <x:c r="A177" s="41"/>
      <x:c r="B177" s="45"/>
      <x:c r="F177" s="53"/>
      <x:c r="G177" s="41"/>
      <x:c r="H177" s="53"/>
    </x:row>
    <x:row r="178">
      <x:c r="A178" s="41"/>
      <x:c r="B178" s="45"/>
      <x:c r="F178" s="53"/>
      <x:c r="G178" s="41"/>
      <x:c r="H178" s="53"/>
    </x:row>
    <x:row r="179">
      <x:c r="A179" s="41"/>
      <x:c r="B179" s="45"/>
      <x:c r="F179" s="53"/>
      <x:c r="G179" s="41"/>
      <x:c r="H179" s="53"/>
    </x:row>
    <x:row r="180">
      <x:c r="A180" s="41"/>
      <x:c r="B180" s="45"/>
      <x:c r="F180" s="53"/>
      <x:c r="G180" s="41"/>
      <x:c r="H180" s="53"/>
    </x:row>
    <x:row r="181">
      <x:c r="A181" s="41"/>
      <x:c r="B181" s="45"/>
      <x:c r="F181" s="53"/>
      <x:c r="G181" s="41"/>
      <x:c r="H181" s="53"/>
    </x:row>
    <x:row r="182">
      <x:c r="A182" s="41"/>
      <x:c r="B182" s="45"/>
      <x:c r="F182" s="53"/>
      <x:c r="G182" s="41"/>
      <x:c r="H182" s="53"/>
    </x:row>
    <x:row r="183">
      <x:c r="A183" s="41"/>
      <x:c r="B183" s="45"/>
      <x:c r="F183" s="53"/>
      <x:c r="G183" s="41"/>
      <x:c r="H183" s="53"/>
    </x:row>
    <x:row r="184">
      <x:c r="A184" s="41"/>
      <x:c r="B184" s="45"/>
      <x:c r="F184" s="53"/>
      <x:c r="G184" s="41"/>
      <x:c r="H184" s="53"/>
    </x:row>
    <x:row r="185">
      <x:c r="A185" s="41"/>
      <x:c r="B185" s="45"/>
      <x:c r="F185" s="53"/>
      <x:c r="G185" s="41"/>
      <x:c r="H185" s="53"/>
    </x:row>
    <x:row r="186">
      <x:c r="A186" s="41"/>
      <x:c r="B186" s="45"/>
      <x:c r="F186" s="53"/>
      <x:c r="G186" s="41"/>
      <x:c r="H186" s="53"/>
    </x:row>
    <x:row r="187">
      <x:c r="A187" s="41"/>
      <x:c r="B187" s="45"/>
      <x:c r="F187" s="53"/>
      <x:c r="G187" s="41"/>
      <x:c r="H187" s="53"/>
    </x:row>
    <x:row r="188">
      <x:c r="A188" s="41"/>
      <x:c r="B188" s="45"/>
      <x:c r="F188" s="53"/>
      <x:c r="G188" s="41"/>
      <x:c r="H188" s="53"/>
    </x:row>
    <x:row r="189">
      <x:c r="A189" s="41"/>
      <x:c r="B189" s="45"/>
      <x:c r="F189" s="53"/>
      <x:c r="G189" s="41"/>
      <x:c r="H189" s="53"/>
    </x:row>
    <x:row r="190">
      <x:c r="A190" s="41"/>
      <x:c r="B190" s="45"/>
      <x:c r="F190" s="53"/>
      <x:c r="G190" s="41"/>
      <x:c r="H190" s="53"/>
    </x:row>
    <x:row r="191">
      <x:c r="A191" s="41"/>
      <x:c r="B191" s="45"/>
      <x:c r="F191" s="53"/>
      <x:c r="G191" s="41"/>
      <x:c r="H191" s="53"/>
    </x:row>
    <x:row r="192">
      <x:c r="A192" s="41"/>
      <x:c r="B192" s="45"/>
      <x:c r="F192" s="53"/>
      <x:c r="G192" s="41"/>
      <x:c r="H192" s="53"/>
    </x:row>
    <x:row r="193">
      <x:c r="A193" s="41"/>
      <x:c r="B193" s="45"/>
      <x:c r="F193" s="53"/>
      <x:c r="G193" s="41"/>
      <x:c r="H193" s="53"/>
    </x:row>
    <x:row r="194">
      <x:c r="A194" s="41"/>
      <x:c r="B194" s="45"/>
      <x:c r="F194" s="53"/>
      <x:c r="G194" s="41"/>
      <x:c r="H194" s="53"/>
    </x:row>
    <x:row r="195">
      <x:c r="A195" s="41"/>
      <x:c r="B195" s="45"/>
      <x:c r="F195" s="53"/>
      <x:c r="G195" s="41"/>
      <x:c r="H195" s="53"/>
    </x:row>
    <x:row r="196">
      <x:c r="A196" s="41"/>
      <x:c r="B196" s="45"/>
      <x:c r="F196" s="53"/>
      <x:c r="G196" s="41"/>
      <x:c r="H196" s="53"/>
    </x:row>
    <x:row r="197">
      <x:c r="A197" s="41"/>
      <x:c r="B197" s="45"/>
      <x:c r="F197" s="53"/>
      <x:c r="G197" s="41"/>
      <x:c r="H197" s="53"/>
    </x:row>
    <x:row r="198">
      <x:c r="A198" s="41"/>
      <x:c r="B198" s="45"/>
      <x:c r="F198" s="53"/>
      <x:c r="G198" s="41"/>
      <x:c r="H198" s="53"/>
    </x:row>
    <x:row r="199">
      <x:c r="A199" s="41"/>
      <x:c r="B199" s="45"/>
      <x:c r="F199" s="53"/>
      <x:c r="G199" s="41"/>
      <x:c r="H199" s="53"/>
    </x:row>
    <x:row r="200">
      <x:c r="A200" s="41"/>
      <x:c r="B200" s="45"/>
      <x:c r="F200" s="53"/>
      <x:c r="G200" s="41"/>
      <x:c r="H200" s="53"/>
    </x:row>
    <x:row r="201">
      <x:c r="A201" s="41"/>
      <x:c r="B201" s="45"/>
      <x:c r="F201" s="53"/>
      <x:c r="G201" s="41"/>
      <x:c r="H201" s="53"/>
    </x:row>
    <x:row r="202">
      <x:c r="A202" s="41"/>
      <x:c r="B202" s="45"/>
      <x:c r="F202" s="53"/>
      <x:c r="G202" s="41"/>
      <x:c r="H202" s="53"/>
    </x:row>
    <x:row r="203">
      <x:c r="A203" s="41"/>
      <x:c r="B203" s="45"/>
      <x:c r="F203" s="53"/>
      <x:c r="G203" s="41"/>
      <x:c r="H203" s="53"/>
    </x:row>
    <x:row r="204">
      <x:c r="A204" s="41"/>
      <x:c r="B204" s="45"/>
      <x:c r="F204" s="53"/>
      <x:c r="G204" s="41"/>
      <x:c r="H204" s="53"/>
    </x:row>
    <x:row r="205">
      <x:c r="A205" s="41"/>
      <x:c r="B205" s="45"/>
      <x:c r="F205" s="53"/>
      <x:c r="G205" s="41"/>
      <x:c r="H205" s="53"/>
    </x:row>
    <x:row r="206">
      <x:c r="A206" s="41"/>
      <x:c r="B206" s="45"/>
      <x:c r="F206" s="53"/>
      <x:c r="G206" s="41"/>
      <x:c r="H206" s="53"/>
    </x:row>
    <x:row r="207">
      <x:c r="A207" s="41"/>
      <x:c r="B207" s="45"/>
      <x:c r="F207" s="53"/>
      <x:c r="G207" s="41"/>
      <x:c r="H207" s="53"/>
    </x:row>
    <x:row r="208">
      <x:c r="A208" s="41"/>
      <x:c r="B208" s="45"/>
      <x:c r="F208" s="53"/>
      <x:c r="G208" s="41"/>
      <x:c r="H208" s="53"/>
    </x:row>
    <x:row r="209">
      <x:c r="A209" s="41"/>
      <x:c r="B209" s="45"/>
      <x:c r="F209" s="53"/>
      <x:c r="G209" s="41"/>
      <x:c r="H209" s="53"/>
    </x:row>
    <x:row r="210">
      <x:c r="A210" s="41"/>
      <x:c r="B210" s="45"/>
      <x:c r="F210" s="53"/>
      <x:c r="G210" s="41"/>
      <x:c r="H210" s="53"/>
    </x:row>
    <x:row r="211">
      <x:c r="A211" s="41"/>
      <x:c r="B211" s="45"/>
      <x:c r="F211" s="53"/>
      <x:c r="G211" s="41"/>
      <x:c r="H211" s="53"/>
    </x:row>
    <x:row r="212">
      <x:c r="A212" s="41"/>
      <x:c r="B212" s="45"/>
      <x:c r="F212" s="53"/>
      <x:c r="G212" s="41"/>
      <x:c r="H212" s="53"/>
    </x:row>
    <x:row r="213">
      <x:c r="A213" s="41"/>
      <x:c r="B213" s="45"/>
      <x:c r="F213" s="53"/>
      <x:c r="G213" s="41"/>
      <x:c r="H213" s="53"/>
    </x:row>
    <x:row r="214">
      <x:c r="A214" s="41"/>
      <x:c r="B214" s="45"/>
      <x:c r="F214" s="53"/>
      <x:c r="G214" s="41"/>
      <x:c r="H214" s="53"/>
    </x:row>
    <x:row r="215">
      <x:c r="A215" s="41"/>
      <x:c r="B215" s="45"/>
      <x:c r="F215" s="53"/>
      <x:c r="G215" s="41"/>
      <x:c r="H215" s="53"/>
    </x:row>
    <x:row r="216">
      <x:c r="A216" s="41"/>
      <x:c r="B216" s="45"/>
      <x:c r="F216" s="53"/>
      <x:c r="G216" s="41"/>
      <x:c r="H216" s="53"/>
    </x:row>
    <x:row r="217">
      <x:c r="A217" s="41"/>
      <x:c r="B217" s="45"/>
      <x:c r="F217" s="53"/>
      <x:c r="G217" s="41"/>
      <x:c r="H217" s="53"/>
    </x:row>
    <x:row r="218">
      <x:c r="A218" s="41"/>
      <x:c r="B218" s="45"/>
      <x:c r="F218" s="53"/>
      <x:c r="G218" s="41"/>
      <x:c r="H218" s="53"/>
    </x:row>
    <x:row r="219">
      <x:c r="A219" s="41"/>
      <x:c r="B219" s="45"/>
      <x:c r="F219" s="53"/>
      <x:c r="G219" s="41"/>
      <x:c r="H219" s="53"/>
    </x:row>
    <x:row r="220">
      <x:c r="A220" s="41"/>
      <x:c r="B220" s="45"/>
      <x:c r="F220" s="53"/>
      <x:c r="G220" s="41"/>
      <x:c r="H220" s="53"/>
    </x:row>
    <x:row r="221">
      <x:c r="A221" s="41"/>
      <x:c r="B221" s="45"/>
      <x:c r="F221" s="53"/>
      <x:c r="G221" s="41"/>
      <x:c r="H221" s="53"/>
    </x:row>
    <x:row r="222">
      <x:c r="A222" s="41"/>
      <x:c r="B222" s="45"/>
      <x:c r="F222" s="53"/>
      <x:c r="G222" s="41"/>
      <x:c r="H222" s="53"/>
    </x:row>
    <x:row r="223">
      <x:c r="A223" s="41"/>
      <x:c r="B223" s="45"/>
      <x:c r="F223" s="53"/>
      <x:c r="G223" s="41"/>
      <x:c r="H223" s="53"/>
    </x:row>
    <x:row r="224">
      <x:c r="A224" s="41"/>
      <x:c r="B224" s="45"/>
      <x:c r="F224" s="53"/>
      <x:c r="G224" s="41"/>
      <x:c r="H224" s="53"/>
    </x:row>
    <x:row r="225">
      <x:c r="A225" s="41"/>
      <x:c r="B225" s="45"/>
      <x:c r="F225" s="53"/>
      <x:c r="G225" s="41"/>
      <x:c r="H225" s="53"/>
    </x:row>
    <x:row r="226">
      <x:c r="A226" s="41"/>
      <x:c r="B226" s="45"/>
      <x:c r="F226" s="53"/>
      <x:c r="G226" s="41"/>
      <x:c r="H226" s="53"/>
    </x:row>
    <x:row r="227">
      <x:c r="A227" s="41"/>
      <x:c r="B227" s="45"/>
      <x:c r="F227" s="53"/>
      <x:c r="G227" s="41"/>
      <x:c r="H227" s="53"/>
    </x:row>
    <x:row r="228">
      <x:c r="A228" s="41"/>
      <x:c r="B228" s="45"/>
      <x:c r="F228" s="53"/>
      <x:c r="G228" s="41"/>
      <x:c r="H228" s="53"/>
    </x:row>
    <x:row r="229">
      <x:c r="A229" s="41"/>
      <x:c r="B229" s="45"/>
      <x:c r="F229" s="53"/>
      <x:c r="G229" s="41"/>
      <x:c r="H229" s="53"/>
    </x:row>
    <x:row r="230">
      <x:c r="A230" s="41"/>
      <x:c r="B230" s="45"/>
      <x:c r="F230" s="53"/>
      <x:c r="G230" s="41"/>
      <x:c r="H230" s="53"/>
    </x:row>
    <x:row r="231">
      <x:c r="A231" s="41"/>
      <x:c r="B231" s="45"/>
      <x:c r="F231" s="53"/>
      <x:c r="G231" s="41"/>
      <x:c r="H231" s="53"/>
    </x:row>
    <x:row r="232">
      <x:c r="A232" s="41"/>
      <x:c r="B232" s="45"/>
      <x:c r="F232" s="53"/>
      <x:c r="G232" s="41"/>
      <x:c r="H232" s="53"/>
    </x:row>
    <x:row r="233">
      <x:c r="A233" s="41"/>
      <x:c r="B233" s="45"/>
      <x:c r="F233" s="53"/>
      <x:c r="G233" s="41"/>
      <x:c r="H233" s="53"/>
    </x:row>
    <x:row r="234">
      <x:c r="A234" s="41"/>
      <x:c r="B234" s="45"/>
      <x:c r="F234" s="53"/>
      <x:c r="G234" s="41"/>
      <x:c r="H234" s="53"/>
    </x:row>
    <x:row r="235">
      <x:c r="A235" s="41"/>
      <x:c r="B235" s="45"/>
      <x:c r="F235" s="53"/>
      <x:c r="G235" s="41"/>
      <x:c r="H235" s="53"/>
    </x:row>
    <x:row r="236">
      <x:c r="A236" s="41"/>
      <x:c r="B236" s="45"/>
      <x:c r="F236" s="53"/>
      <x:c r="G236" s="41"/>
      <x:c r="H236" s="53"/>
    </x:row>
    <x:row r="237">
      <x:c r="A237" s="41"/>
      <x:c r="B237" s="45"/>
      <x:c r="F237" s="53"/>
      <x:c r="G237" s="41"/>
      <x:c r="H237" s="53"/>
    </x:row>
    <x:row r="238">
      <x:c r="A238" s="41"/>
      <x:c r="B238" s="45"/>
      <x:c r="F238" s="53"/>
      <x:c r="G238" s="41"/>
      <x:c r="H238" s="53"/>
    </x:row>
    <x:row r="239">
      <x:c r="A239" s="41"/>
      <x:c r="B239" s="45"/>
      <x:c r="F239" s="53"/>
      <x:c r="G239" s="41"/>
      <x:c r="H239" s="53"/>
    </x:row>
    <x:row r="240">
      <x:c r="A240" s="41"/>
      <x:c r="B240" s="45"/>
      <x:c r="F240" s="53"/>
      <x:c r="G240" s="41"/>
      <x:c r="H240" s="53"/>
    </x:row>
    <x:row r="241">
      <x:c r="A241" s="41"/>
      <x:c r="B241" s="45"/>
      <x:c r="F241" s="53"/>
      <x:c r="G241" s="41"/>
      <x:c r="H241" s="53"/>
    </x:row>
    <x:row r="242">
      <x:c r="A242" s="41"/>
      <x:c r="B242" s="45"/>
      <x:c r="F242" s="53"/>
      <x:c r="G242" s="41"/>
      <x:c r="H242" s="53"/>
    </x:row>
    <x:row r="243">
      <x:c r="A243" s="41"/>
      <x:c r="B243" s="45"/>
      <x:c r="F243" s="53"/>
      <x:c r="G243" s="41"/>
      <x:c r="H243" s="53"/>
    </x:row>
    <x:row r="244">
      <x:c r="A244" s="41"/>
      <x:c r="B244" s="45"/>
      <x:c r="F244" s="53"/>
      <x:c r="G244" s="41"/>
      <x:c r="H244" s="53"/>
    </x:row>
    <x:row r="245">
      <x:c r="A245" s="41"/>
      <x:c r="B245" s="45"/>
      <x:c r="F245" s="53"/>
      <x:c r="G245" s="41"/>
      <x:c r="H245" s="53"/>
    </x:row>
    <x:row r="246">
      <x:c r="A246" s="41"/>
      <x:c r="B246" s="45"/>
      <x:c r="F246" s="53"/>
      <x:c r="G246" s="41"/>
      <x:c r="H246" s="53"/>
    </x:row>
    <x:row r="247">
      <x:c r="A247" s="41"/>
      <x:c r="B247" s="45"/>
      <x:c r="F247" s="53"/>
      <x:c r="G247" s="41"/>
      <x:c r="H247" s="53"/>
    </x:row>
    <x:row r="248">
      <x:c r="A248" s="41"/>
      <x:c r="B248" s="45"/>
      <x:c r="F248" s="53"/>
      <x:c r="G248" s="41"/>
      <x:c r="H248" s="53"/>
    </x:row>
    <x:row r="249">
      <x:c r="A249" s="41"/>
      <x:c r="B249" s="45"/>
      <x:c r="F249" s="53"/>
      <x:c r="G249" s="41"/>
      <x:c r="H249" s="53"/>
    </x:row>
    <x:row r="250">
      <x:c r="A250" s="41"/>
      <x:c r="B250" s="45"/>
      <x:c r="F250" s="53"/>
      <x:c r="G250" s="41"/>
      <x:c r="H250" s="53"/>
    </x:row>
    <x:row r="251">
      <x:c r="A251" s="41"/>
      <x:c r="B251" s="45"/>
      <x:c r="F251" s="53"/>
      <x:c r="G251" s="41"/>
      <x:c r="H251" s="53"/>
    </x:row>
    <x:row r="252">
      <x:c r="A252" s="41"/>
      <x:c r="B252" s="45"/>
      <x:c r="F252" s="53"/>
      <x:c r="G252" s="41"/>
      <x:c r="H252" s="53"/>
    </x:row>
    <x:row r="253">
      <x:c r="A253" s="41"/>
      <x:c r="B253" s="45"/>
      <x:c r="F253" s="53"/>
      <x:c r="G253" s="41"/>
      <x:c r="H253" s="53"/>
    </x:row>
    <x:row r="254">
      <x:c r="A254" s="41"/>
      <x:c r="B254" s="45"/>
      <x:c r="F254" s="53"/>
      <x:c r="G254" s="41"/>
      <x:c r="H254" s="53"/>
    </x:row>
    <x:row r="255">
      <x:c r="A255" s="41"/>
      <x:c r="B255" s="45"/>
      <x:c r="F255" s="53"/>
      <x:c r="G255" s="41"/>
      <x:c r="H255" s="53"/>
    </x:row>
    <x:row r="256">
      <x:c r="A256" s="41"/>
      <x:c r="B256" s="45"/>
      <x:c r="F256" s="53"/>
      <x:c r="G256" s="41"/>
      <x:c r="H256" s="53"/>
    </x:row>
    <x:row r="257">
      <x:c r="A257" s="41"/>
      <x:c r="B257" s="45"/>
      <x:c r="F257" s="53"/>
      <x:c r="G257" s="41"/>
      <x:c r="H257" s="53"/>
    </x:row>
    <x:row r="258">
      <x:c r="A258" s="41"/>
      <x:c r="B258" s="45"/>
      <x:c r="F258" s="53"/>
      <x:c r="G258" s="41"/>
      <x:c r="H258" s="53"/>
    </x:row>
    <x:row r="259">
      <x:c r="A259" s="41"/>
      <x:c r="B259" s="45"/>
      <x:c r="F259" s="53"/>
      <x:c r="G259" s="41"/>
      <x:c r="H259" s="53"/>
    </x:row>
    <x:row r="260">
      <x:c r="A260" s="41"/>
      <x:c r="B260" s="45"/>
      <x:c r="F260" s="53"/>
      <x:c r="G260" s="41"/>
      <x:c r="H260" s="53"/>
    </x:row>
    <x:row r="261">
      <x:c r="A261" s="41"/>
      <x:c r="B261" s="45"/>
      <x:c r="F261" s="53"/>
      <x:c r="G261" s="41"/>
      <x:c r="H261" s="53"/>
    </x:row>
    <x:row r="262">
      <x:c r="A262" s="41"/>
      <x:c r="B262" s="45"/>
      <x:c r="F262" s="53"/>
      <x:c r="G262" s="41"/>
      <x:c r="H262" s="53"/>
    </x:row>
    <x:row r="263">
      <x:c r="A263" s="41"/>
      <x:c r="B263" s="45"/>
      <x:c r="F263" s="53"/>
      <x:c r="G263" s="41"/>
      <x:c r="H263" s="53"/>
    </x:row>
    <x:row r="264">
      <x:c r="A264" s="41"/>
      <x:c r="B264" s="45"/>
      <x:c r="F264" s="53"/>
      <x:c r="G264" s="41"/>
      <x:c r="H264" s="53"/>
    </x:row>
    <x:row r="265">
      <x:c r="A265" s="41"/>
      <x:c r="B265" s="45"/>
      <x:c r="F265" s="53"/>
      <x:c r="G265" s="41"/>
      <x:c r="H265" s="53"/>
    </x:row>
    <x:row r="266">
      <x:c r="A266" s="41"/>
      <x:c r="B266" s="45"/>
      <x:c r="F266" s="53"/>
      <x:c r="G266" s="41"/>
      <x:c r="H266" s="53"/>
    </x:row>
    <x:row r="267">
      <x:c r="A267" s="41"/>
      <x:c r="B267" s="45"/>
      <x:c r="F267" s="53"/>
      <x:c r="G267" s="41"/>
      <x:c r="H267" s="53"/>
    </x:row>
    <x:row r="268">
      <x:c r="A268" s="41"/>
      <x:c r="B268" s="45"/>
      <x:c r="F268" s="53"/>
      <x:c r="G268" s="41"/>
      <x:c r="H268" s="53"/>
    </x:row>
    <x:row r="269">
      <x:c r="A269" s="41"/>
      <x:c r="B269" s="45"/>
      <x:c r="F269" s="53"/>
      <x:c r="G269" s="41"/>
      <x:c r="H269" s="53"/>
    </x:row>
    <x:row r="270">
      <x:c r="A270" s="41"/>
      <x:c r="B270" s="45"/>
      <x:c r="F270" s="53"/>
      <x:c r="G270" s="41"/>
      <x:c r="H270" s="53"/>
    </x:row>
    <x:row r="271">
      <x:c r="A271" s="41"/>
      <x:c r="B271" s="45"/>
      <x:c r="F271" s="53"/>
      <x:c r="G271" s="41"/>
      <x:c r="H271" s="53"/>
    </x:row>
    <x:row r="272">
      <x:c r="A272" s="41"/>
      <x:c r="B272" s="45"/>
      <x:c r="F272" s="53"/>
      <x:c r="G272" s="41"/>
      <x:c r="H272" s="53"/>
    </x:row>
    <x:row r="273">
      <x:c r="A273" s="41"/>
      <x:c r="B273" s="45"/>
      <x:c r="F273" s="53"/>
      <x:c r="G273" s="41"/>
      <x:c r="H273" s="53"/>
    </x:row>
    <x:row r="274">
      <x:c r="A274" s="41"/>
      <x:c r="B274" s="45"/>
      <x:c r="F274" s="53"/>
      <x:c r="G274" s="41"/>
      <x:c r="H274" s="53"/>
    </x:row>
    <x:row r="275">
      <x:c r="A275" s="41"/>
      <x:c r="B275" s="45"/>
      <x:c r="F275" s="53"/>
      <x:c r="G275" s="41"/>
      <x:c r="H275" s="53"/>
    </x:row>
    <x:row r="276">
      <x:c r="A276" s="41"/>
      <x:c r="B276" s="45"/>
      <x:c r="F276" s="53"/>
      <x:c r="G276" s="41"/>
      <x:c r="H276" s="53"/>
    </x:row>
    <x:row r="277">
      <x:c r="A277" s="41"/>
      <x:c r="B277" s="45"/>
      <x:c r="F277" s="53"/>
      <x:c r="G277" s="41"/>
      <x:c r="H277" s="53"/>
    </x:row>
    <x:row r="278">
      <x:c r="A278" s="41"/>
      <x:c r="B278" s="45"/>
      <x:c r="F278" s="53"/>
      <x:c r="G278" s="41"/>
      <x:c r="H278" s="53"/>
    </x:row>
    <x:row r="279">
      <x:c r="A279" s="41"/>
      <x:c r="B279" s="45"/>
      <x:c r="F279" s="53"/>
      <x:c r="G279" s="41"/>
      <x:c r="H279" s="53"/>
    </x:row>
    <x:row r="280">
      <x:c r="A280" s="41"/>
      <x:c r="B280" s="45"/>
      <x:c r="F280" s="53"/>
      <x:c r="G280" s="41"/>
      <x:c r="H280" s="53"/>
    </x:row>
    <x:row r="281">
      <x:c r="A281" s="41"/>
      <x:c r="B281" s="45"/>
      <x:c r="F281" s="53"/>
      <x:c r="G281" s="41"/>
      <x:c r="H281" s="53"/>
    </x:row>
    <x:row r="282">
      <x:c r="A282" s="41"/>
      <x:c r="B282" s="45"/>
      <x:c r="F282" s="53"/>
      <x:c r="G282" s="41"/>
      <x:c r="H282" s="53"/>
    </x:row>
    <x:row r="283">
      <x:c r="A283" s="41"/>
      <x:c r="B283" s="45"/>
      <x:c r="F283" s="53"/>
      <x:c r="G283" s="41"/>
      <x:c r="H283" s="53"/>
    </x:row>
    <x:row r="284">
      <x:c r="A284" s="41"/>
      <x:c r="B284" s="45"/>
      <x:c r="F284" s="53"/>
      <x:c r="G284" s="41"/>
      <x:c r="H284" s="53"/>
    </x:row>
    <x:row r="285">
      <x:c r="A285" s="41"/>
      <x:c r="B285" s="45"/>
      <x:c r="F285" s="53"/>
      <x:c r="G285" s="41"/>
      <x:c r="H285" s="53"/>
    </x:row>
    <x:row r="286">
      <x:c r="A286" s="41"/>
      <x:c r="B286" s="45"/>
      <x:c r="F286" s="53"/>
      <x:c r="G286" s="41"/>
      <x:c r="H286" s="53"/>
    </x:row>
    <x:row r="287">
      <x:c r="A287" s="41"/>
      <x:c r="B287" s="45"/>
      <x:c r="F287" s="53"/>
      <x:c r="G287" s="41"/>
      <x:c r="H287" s="53"/>
    </x:row>
    <x:row r="288">
      <x:c r="A288" s="41"/>
      <x:c r="B288" s="45"/>
      <x:c r="F288" s="53"/>
      <x:c r="G288" s="41"/>
      <x:c r="H288" s="53"/>
    </x:row>
    <x:row r="289">
      <x:c r="A289" s="41"/>
      <x:c r="B289" s="45"/>
      <x:c r="F289" s="53"/>
      <x:c r="G289" s="41"/>
      <x:c r="H289" s="53"/>
    </x:row>
    <x:row r="290">
      <x:c r="A290" s="41"/>
      <x:c r="B290" s="45"/>
      <x:c r="F290" s="53"/>
      <x:c r="G290" s="41"/>
      <x:c r="H290" s="53"/>
    </x:row>
    <x:row r="291">
      <x:c r="A291" s="41"/>
      <x:c r="B291" s="45"/>
      <x:c r="F291" s="53"/>
      <x:c r="G291" s="41"/>
      <x:c r="H291" s="53"/>
    </x:row>
    <x:row r="292">
      <x:c r="A292" s="41"/>
      <x:c r="B292" s="45"/>
      <x:c r="F292" s="53"/>
      <x:c r="G292" s="41"/>
      <x:c r="H292" s="53"/>
    </x:row>
    <x:row r="293">
      <x:c r="A293" s="41"/>
      <x:c r="B293" s="45"/>
      <x:c r="F293" s="53"/>
      <x:c r="G293" s="41"/>
      <x:c r="H293" s="53"/>
    </x:row>
    <x:row r="294">
      <x:c r="A294" s="41"/>
      <x:c r="B294" s="45"/>
      <x:c r="F294" s="53"/>
      <x:c r="G294" s="41"/>
      <x:c r="H294" s="53"/>
    </x:row>
    <x:row r="295">
      <x:c r="A295" s="41"/>
      <x:c r="B295" s="45"/>
      <x:c r="F295" s="53"/>
      <x:c r="G295" s="41"/>
      <x:c r="H295" s="53"/>
    </x:row>
    <x:row r="296">
      <x:c r="A296" s="41"/>
      <x:c r="B296" s="45"/>
      <x:c r="F296" s="53"/>
      <x:c r="G296" s="41"/>
      <x:c r="H296" s="53"/>
    </x:row>
    <x:row r="297">
      <x:c r="A297" s="41"/>
      <x:c r="B297" s="45"/>
      <x:c r="F297" s="53"/>
      <x:c r="G297" s="41"/>
      <x:c r="H297" s="53"/>
    </x:row>
    <x:row r="298">
      <x:c r="A298" s="41"/>
      <x:c r="B298" s="45"/>
      <x:c r="F298" s="53"/>
      <x:c r="G298" s="41"/>
      <x:c r="H298" s="53"/>
    </x:row>
    <x:row r="299">
      <x:c r="A299" s="41"/>
      <x:c r="B299" s="45"/>
      <x:c r="F299" s="53"/>
      <x:c r="G299" s="41"/>
      <x:c r="H299" s="53"/>
    </x:row>
    <x:row r="300">
      <x:c r="A300" s="41"/>
      <x:c r="B300" s="45"/>
      <x:c r="F300" s="53"/>
      <x:c r="G300" s="41"/>
      <x:c r="H300" s="53"/>
    </x:row>
    <x:row r="301">
      <x:c r="A301" s="41"/>
      <x:c r="B301" s="45"/>
      <x:c r="F301" s="53"/>
      <x:c r="G301" s="41"/>
      <x:c r="H301" s="53"/>
    </x:row>
    <x:row r="302">
      <x:c r="A302" s="41"/>
      <x:c r="B302" s="45"/>
      <x:c r="F302" s="53"/>
      <x:c r="G302" s="41"/>
      <x:c r="H302" s="53"/>
    </x:row>
    <x:row r="303">
      <x:c r="A303" s="41"/>
      <x:c r="B303" s="45"/>
      <x:c r="F303" s="53"/>
      <x:c r="G303" s="41"/>
      <x:c r="H303" s="53"/>
    </x:row>
    <x:row r="304">
      <x:c r="A304" s="41"/>
      <x:c r="B304" s="45"/>
      <x:c r="F304" s="53"/>
      <x:c r="G304" s="41"/>
      <x:c r="H304" s="53"/>
    </x:row>
    <x:row r="305">
      <x:c r="A305" s="41"/>
      <x:c r="B305" s="45"/>
      <x:c r="F305" s="53"/>
      <x:c r="G305" s="41"/>
      <x:c r="H305" s="53"/>
    </x:row>
    <x:row r="306">
      <x:c r="A306" s="41"/>
      <x:c r="B306" s="45"/>
      <x:c r="F306" s="53"/>
      <x:c r="G306" s="41"/>
      <x:c r="H306" s="53"/>
    </x:row>
    <x:row r="307">
      <x:c r="A307" s="41"/>
      <x:c r="B307" s="45"/>
      <x:c r="F307" s="53"/>
      <x:c r="G307" s="41"/>
      <x:c r="H307" s="53"/>
    </x:row>
    <x:row r="308">
      <x:c r="A308" s="41"/>
      <x:c r="B308" s="45"/>
      <x:c r="F308" s="53"/>
      <x:c r="G308" s="41"/>
      <x:c r="H308" s="53"/>
    </x:row>
    <x:row r="309">
      <x:c r="A309" s="41"/>
      <x:c r="B309" s="45"/>
      <x:c r="F309" s="53"/>
      <x:c r="G309" s="41"/>
      <x:c r="H309" s="53"/>
    </x:row>
    <x:row r="310">
      <x:c r="A310" s="41"/>
      <x:c r="B310" s="45"/>
      <x:c r="F310" s="53"/>
      <x:c r="G310" s="41"/>
      <x:c r="H310" s="53"/>
    </x:row>
    <x:row r="311">
      <x:c r="A311" s="41"/>
      <x:c r="B311" s="45"/>
      <x:c r="F311" s="53"/>
      <x:c r="G311" s="41"/>
      <x:c r="H311" s="53"/>
    </x:row>
    <x:row r="312">
      <x:c r="A312" s="41"/>
      <x:c r="B312" s="45"/>
      <x:c r="F312" s="53"/>
      <x:c r="G312" s="41"/>
      <x:c r="H312" s="53"/>
    </x:row>
    <x:row r="313">
      <x:c r="A313" s="41"/>
      <x:c r="B313" s="45"/>
      <x:c r="F313" s="53"/>
      <x:c r="G313" s="41"/>
      <x:c r="H313" s="53"/>
    </x:row>
    <x:row r="314">
      <x:c r="A314" s="41"/>
      <x:c r="B314" s="45"/>
      <x:c r="F314" s="53"/>
      <x:c r="G314" s="41"/>
      <x:c r="H314" s="53"/>
    </x:row>
    <x:row r="315">
      <x:c r="A315" s="41"/>
      <x:c r="B315" s="45"/>
      <x:c r="F315" s="53"/>
      <x:c r="G315" s="41"/>
      <x:c r="H315" s="53"/>
    </x:row>
    <x:row r="316">
      <x:c r="A316" s="41"/>
      <x:c r="B316" s="45"/>
      <x:c r="F316" s="53"/>
      <x:c r="G316" s="41"/>
      <x:c r="H316" s="53"/>
    </x:row>
    <x:row r="317">
      <x:c r="A317" s="41"/>
      <x:c r="B317" s="45"/>
      <x:c r="F317" s="53"/>
      <x:c r="G317" s="41"/>
      <x:c r="H317" s="53"/>
    </x:row>
    <x:row r="318">
      <x:c r="A318" s="41"/>
      <x:c r="B318" s="45"/>
      <x:c r="F318" s="53"/>
      <x:c r="G318" s="41"/>
      <x:c r="H318" s="53"/>
    </x:row>
    <x:row r="319">
      <x:c r="A319" s="41"/>
      <x:c r="B319" s="45"/>
      <x:c r="F319" s="53"/>
      <x:c r="G319" s="41"/>
      <x:c r="H319" s="53"/>
    </x:row>
    <x:row r="320">
      <x:c r="A320" s="41"/>
      <x:c r="B320" s="45"/>
      <x:c r="F320" s="53"/>
      <x:c r="G320" s="41"/>
      <x:c r="H320" s="53"/>
    </x:row>
    <x:row r="321">
      <x:c r="A321" s="41"/>
      <x:c r="B321" s="45"/>
      <x:c r="F321" s="53"/>
      <x:c r="G321" s="41"/>
      <x:c r="H321" s="53"/>
    </x:row>
    <x:row r="322">
      <x:c r="A322" s="41"/>
      <x:c r="B322" s="45"/>
      <x:c r="F322" s="53"/>
      <x:c r="G322" s="41"/>
      <x:c r="H322" s="53"/>
    </x:row>
    <x:row r="323">
      <x:c r="A323" s="41"/>
      <x:c r="B323" s="45"/>
      <x:c r="F323" s="53"/>
      <x:c r="G323" s="41"/>
      <x:c r="H323" s="53"/>
    </x:row>
    <x:row r="324">
      <x:c r="A324" s="41"/>
      <x:c r="B324" s="45"/>
      <x:c r="F324" s="53"/>
      <x:c r="G324" s="41"/>
      <x:c r="H324" s="53"/>
    </x:row>
    <x:row r="325">
      <x:c r="A325" s="41"/>
      <x:c r="B325" s="45"/>
      <x:c r="F325" s="53"/>
      <x:c r="G325" s="41"/>
      <x:c r="H325" s="53"/>
    </x:row>
    <x:row r="326">
      <x:c r="A326" s="41"/>
      <x:c r="B326" s="45"/>
      <x:c r="F326" s="53"/>
      <x:c r="G326" s="41"/>
      <x:c r="H326" s="53"/>
    </x:row>
    <x:row r="327">
      <x:c r="A327" s="41"/>
      <x:c r="B327" s="45"/>
      <x:c r="F327" s="53"/>
      <x:c r="G327" s="41"/>
      <x:c r="H327" s="53"/>
    </x:row>
    <x:row r="328">
      <x:c r="A328" s="41"/>
      <x:c r="B328" s="45"/>
      <x:c r="F328" s="53"/>
      <x:c r="G328" s="41"/>
      <x:c r="H328" s="53"/>
    </x:row>
    <x:row r="329">
      <x:c r="A329" s="41"/>
      <x:c r="B329" s="45"/>
      <x:c r="F329" s="53"/>
      <x:c r="G329" s="41"/>
      <x:c r="H329" s="53"/>
    </x:row>
    <x:row r="330">
      <x:c r="A330" s="41"/>
      <x:c r="B330" s="45"/>
      <x:c r="F330" s="53"/>
      <x:c r="G330" s="41"/>
      <x:c r="H330" s="53"/>
    </x:row>
    <x:row r="331">
      <x:c r="A331" s="41"/>
      <x:c r="B331" s="45"/>
      <x:c r="F331" s="53"/>
      <x:c r="G331" s="41"/>
      <x:c r="H331" s="53"/>
    </x:row>
    <x:row r="332">
      <x:c r="A332" s="41"/>
      <x:c r="B332" s="45"/>
      <x:c r="F332" s="53"/>
      <x:c r="G332" s="41"/>
      <x:c r="H332" s="53"/>
    </x:row>
    <x:row r="333">
      <x:c r="A333" s="41"/>
      <x:c r="B333" s="45"/>
      <x:c r="F333" s="53"/>
      <x:c r="G333" s="41"/>
      <x:c r="H333" s="53"/>
    </x:row>
    <x:row r="334">
      <x:c r="A334" s="41"/>
      <x:c r="B334" s="45"/>
      <x:c r="F334" s="53"/>
      <x:c r="G334" s="41"/>
      <x:c r="H334" s="53"/>
    </x:row>
    <x:row r="335">
      <x:c r="A335" s="41"/>
      <x:c r="B335" s="45"/>
      <x:c r="F335" s="53"/>
      <x:c r="G335" s="41"/>
      <x:c r="H335" s="53"/>
    </x:row>
    <x:row r="336">
      <x:c r="A336" s="41"/>
      <x:c r="B336" s="45"/>
      <x:c r="F336" s="53"/>
      <x:c r="G336" s="41"/>
      <x:c r="H336" s="53"/>
    </x:row>
    <x:row r="337">
      <x:c r="A337" s="41"/>
      <x:c r="B337" s="45"/>
      <x:c r="F337" s="53"/>
      <x:c r="G337" s="41"/>
      <x:c r="H337" s="53"/>
    </x:row>
    <x:row r="338">
      <x:c r="A338" s="41"/>
      <x:c r="B338" s="45"/>
      <x:c r="F338" s="53"/>
      <x:c r="G338" s="41"/>
      <x:c r="H338" s="53"/>
    </x:row>
    <x:row r="339">
      <x:c r="A339" s="41"/>
      <x:c r="B339" s="45"/>
      <x:c r="F339" s="53"/>
      <x:c r="G339" s="41"/>
      <x:c r="H339" s="53"/>
    </x:row>
    <x:row r="340">
      <x:c r="A340" s="41"/>
      <x:c r="B340" s="45"/>
      <x:c r="F340" s="53"/>
      <x:c r="G340" s="41"/>
      <x:c r="H340" s="53"/>
    </x:row>
    <x:row r="341">
      <x:c r="A341" s="41"/>
      <x:c r="B341" s="45"/>
      <x:c r="F341" s="53"/>
      <x:c r="G341" s="41"/>
      <x:c r="H341" s="53"/>
    </x:row>
    <x:row r="342">
      <x:c r="A342" s="41"/>
      <x:c r="B342" s="45"/>
      <x:c r="F342" s="53"/>
      <x:c r="G342" s="41"/>
      <x:c r="H342" s="53"/>
    </x:row>
    <x:row r="343">
      <x:c r="A343" s="41"/>
      <x:c r="B343" s="45"/>
      <x:c r="F343" s="53"/>
      <x:c r="G343" s="41"/>
      <x:c r="H343" s="53"/>
    </x:row>
    <x:row r="344">
      <x:c r="A344" s="41"/>
      <x:c r="B344" s="45"/>
      <x:c r="F344" s="53"/>
      <x:c r="G344" s="41"/>
      <x:c r="H344" s="53"/>
    </x:row>
    <x:row r="345">
      <x:c r="A345" s="41"/>
      <x:c r="B345" s="45"/>
      <x:c r="F345" s="53"/>
      <x:c r="G345" s="41"/>
      <x:c r="H345" s="53"/>
    </x:row>
    <x:row r="346">
      <x:c r="A346" s="41"/>
      <x:c r="B346" s="45"/>
      <x:c r="F346" s="53"/>
      <x:c r="G346" s="41"/>
      <x:c r="H346" s="53"/>
    </x:row>
    <x:row r="347">
      <x:c r="A347" s="41"/>
      <x:c r="B347" s="45"/>
      <x:c r="F347" s="53"/>
      <x:c r="G347" s="41"/>
      <x:c r="H347" s="53"/>
    </x:row>
    <x:row r="348">
      <x:c r="A348" s="41"/>
      <x:c r="B348" s="45"/>
      <x:c r="F348" s="53"/>
      <x:c r="G348" s="41"/>
      <x:c r="H348" s="53"/>
    </x:row>
    <x:row r="349">
      <x:c r="A349" s="41"/>
      <x:c r="B349" s="45"/>
      <x:c r="F349" s="53"/>
      <x:c r="G349" s="41"/>
      <x:c r="H349" s="53"/>
    </x:row>
    <x:row r="350">
      <x:c r="A350" s="41"/>
      <x:c r="B350" s="45"/>
      <x:c r="F350" s="53"/>
      <x:c r="G350" s="41"/>
      <x:c r="H350" s="53"/>
    </x:row>
    <x:row r="351">
      <x:c r="A351" s="41"/>
      <x:c r="B351" s="45"/>
      <x:c r="F351" s="53"/>
      <x:c r="G351" s="41"/>
      <x:c r="H351" s="53"/>
    </x:row>
    <x:row r="352">
      <x:c r="A352" s="41"/>
      <x:c r="B352" s="45"/>
      <x:c r="F352" s="53"/>
      <x:c r="G352" s="41"/>
      <x:c r="H352" s="53"/>
    </x:row>
    <x:row r="353">
      <x:c r="A353" s="41"/>
      <x:c r="B353" s="45"/>
      <x:c r="F353" s="53"/>
      <x:c r="G353" s="41"/>
      <x:c r="H353" s="53"/>
    </x:row>
    <x:row r="354">
      <x:c r="A354" s="41"/>
      <x:c r="B354" s="45"/>
      <x:c r="F354" s="53"/>
      <x:c r="G354" s="41"/>
      <x:c r="H354" s="53"/>
    </x:row>
    <x:row r="355">
      <x:c r="A355" s="41"/>
      <x:c r="B355" s="45"/>
      <x:c r="F355" s="53"/>
      <x:c r="G355" s="41"/>
      <x:c r="H355" s="53"/>
    </x:row>
    <x:row r="356">
      <x:c r="A356" s="41"/>
      <x:c r="B356" s="45"/>
      <x:c r="F356" s="53"/>
      <x:c r="G356" s="41"/>
      <x:c r="H356" s="53"/>
    </x:row>
    <x:row r="357">
      <x:c r="A357" s="41"/>
      <x:c r="B357" s="45"/>
      <x:c r="F357" s="53"/>
      <x:c r="G357" s="41"/>
      <x:c r="H357" s="53"/>
    </x:row>
    <x:row r="358">
      <x:c r="A358" s="41"/>
      <x:c r="B358" s="45"/>
      <x:c r="F358" s="53"/>
      <x:c r="G358" s="41"/>
      <x:c r="H358" s="53"/>
    </x:row>
    <x:row r="359">
      <x:c r="A359" s="41"/>
      <x:c r="B359" s="45"/>
      <x:c r="F359" s="53"/>
      <x:c r="G359" s="41"/>
      <x:c r="H359" s="53"/>
    </x:row>
    <x:row r="360">
      <x:c r="A360" s="41"/>
      <x:c r="B360" s="45"/>
      <x:c r="F360" s="53"/>
      <x:c r="G360" s="41"/>
      <x:c r="H360" s="53"/>
    </x:row>
    <x:row r="361">
      <x:c r="A361" s="41"/>
      <x:c r="B361" s="45"/>
      <x:c r="F361" s="53"/>
      <x:c r="G361" s="41"/>
      <x:c r="H361" s="53"/>
    </x:row>
    <x:row r="362">
      <x:c r="A362" s="41"/>
      <x:c r="B362" s="45"/>
      <x:c r="F362" s="53"/>
      <x:c r="G362" s="41"/>
      <x:c r="H362" s="53"/>
    </x:row>
    <x:row r="363">
      <x:c r="A363" s="41"/>
      <x:c r="B363" s="45"/>
      <x:c r="F363" s="53"/>
      <x:c r="G363" s="41"/>
      <x:c r="H363" s="53"/>
    </x:row>
    <x:row r="364">
      <x:c r="A364" s="41"/>
      <x:c r="B364" s="45"/>
      <x:c r="F364" s="53"/>
      <x:c r="G364" s="41"/>
      <x:c r="H364" s="53"/>
    </x:row>
    <x:row r="365">
      <x:c r="A365" s="41"/>
      <x:c r="B365" s="45"/>
      <x:c r="F365" s="53"/>
      <x:c r="G365" s="41"/>
      <x:c r="H365" s="53"/>
    </x:row>
    <x:row r="366">
      <x:c r="A366" s="41"/>
      <x:c r="B366" s="45"/>
      <x:c r="F366" s="53"/>
      <x:c r="G366" s="41"/>
      <x:c r="H366" s="53"/>
    </x:row>
    <x:row r="367">
      <x:c r="A367" s="41"/>
      <x:c r="B367" s="45"/>
      <x:c r="F367" s="53"/>
      <x:c r="G367" s="41"/>
      <x:c r="H367" s="53"/>
    </x:row>
    <x:row r="368">
      <x:c r="A368" s="41"/>
      <x:c r="B368" s="45"/>
      <x:c r="F368" s="53"/>
      <x:c r="G368" s="41"/>
      <x:c r="H368" s="53"/>
    </x:row>
    <x:row r="369">
      <x:c r="A369" s="41"/>
      <x:c r="B369" s="45"/>
      <x:c r="F369" s="53"/>
      <x:c r="G369" s="41"/>
      <x:c r="H369" s="53"/>
    </x:row>
    <x:row r="370">
      <x:c r="A370" s="41"/>
      <x:c r="B370" s="45"/>
      <x:c r="F370" s="53"/>
      <x:c r="G370" s="41"/>
      <x:c r="H370" s="53"/>
    </x:row>
    <x:row r="371">
      <x:c r="A371" s="41"/>
      <x:c r="B371" s="45"/>
      <x:c r="F371" s="53"/>
      <x:c r="G371" s="41"/>
      <x:c r="H371" s="53"/>
    </x:row>
    <x:row r="372">
      <x:c r="A372" s="41"/>
      <x:c r="B372" s="45"/>
      <x:c r="F372" s="53"/>
      <x:c r="G372" s="41"/>
      <x:c r="H372" s="53"/>
    </x:row>
    <x:row r="373">
      <x:c r="A373" s="41"/>
      <x:c r="B373" s="45"/>
      <x:c r="F373" s="53"/>
      <x:c r="G373" s="41"/>
      <x:c r="H373" s="53"/>
    </x:row>
    <x:row r="374">
      <x:c r="A374" s="41"/>
      <x:c r="B374" s="45"/>
      <x:c r="F374" s="53"/>
      <x:c r="G374" s="41"/>
      <x:c r="H374" s="53"/>
    </x:row>
    <x:row r="375">
      <x:c r="A375" s="41"/>
      <x:c r="B375" s="45"/>
      <x:c r="F375" s="53"/>
      <x:c r="G375" s="41"/>
      <x:c r="H375" s="53"/>
    </x:row>
    <x:row r="376">
      <x:c r="A376" s="41"/>
      <x:c r="B376" s="45"/>
      <x:c r="F376" s="53"/>
      <x:c r="G376" s="41"/>
      <x:c r="H376" s="53"/>
    </x:row>
    <x:row r="377">
      <x:c r="A377" s="41"/>
      <x:c r="B377" s="45"/>
      <x:c r="F377" s="53"/>
      <x:c r="G377" s="41"/>
      <x:c r="H377" s="53"/>
    </x:row>
    <x:row r="378">
      <x:c r="A378" s="41"/>
      <x:c r="B378" s="45"/>
      <x:c r="F378" s="53"/>
      <x:c r="G378" s="41"/>
      <x:c r="H378" s="53"/>
    </x:row>
    <x:row r="379">
      <x:c r="A379" s="41"/>
      <x:c r="B379" s="45"/>
      <x:c r="F379" s="53"/>
      <x:c r="G379" s="41"/>
      <x:c r="H379" s="53"/>
    </x:row>
    <x:row r="380">
      <x:c r="A380" s="41"/>
      <x:c r="B380" s="45"/>
      <x:c r="F380" s="53"/>
      <x:c r="G380" s="41"/>
      <x:c r="H380" s="53"/>
    </x:row>
    <x:row r="381">
      <x:c r="A381" s="41"/>
      <x:c r="B381" s="45"/>
      <x:c r="F381" s="53"/>
      <x:c r="G381" s="41"/>
      <x:c r="H381" s="53"/>
    </x:row>
    <x:row r="382">
      <x:c r="A382" s="41"/>
      <x:c r="B382" s="45"/>
      <x:c r="F382" s="53"/>
      <x:c r="G382" s="41"/>
      <x:c r="H382" s="53"/>
    </x:row>
    <x:row r="383">
      <x:c r="A383" s="41"/>
      <x:c r="B383" s="45"/>
      <x:c r="F383" s="53"/>
      <x:c r="G383" s="41"/>
      <x:c r="H383" s="53"/>
    </x:row>
    <x:row r="384">
      <x:c r="A384" s="41"/>
      <x:c r="B384" s="45"/>
      <x:c r="F384" s="53"/>
      <x:c r="G384" s="41"/>
      <x:c r="H384" s="53"/>
    </x:row>
    <x:row r="385">
      <x:c r="A385" s="41"/>
      <x:c r="B385" s="45"/>
      <x:c r="F385" s="53"/>
      <x:c r="G385" s="41"/>
      <x:c r="H385" s="53"/>
    </x:row>
    <x:row r="386">
      <x:c r="A386" s="41"/>
      <x:c r="B386" s="45"/>
      <x:c r="F386" s="53"/>
      <x:c r="G386" s="41"/>
      <x:c r="H386" s="53"/>
    </x:row>
    <x:row r="387">
      <x:c r="A387" s="41"/>
      <x:c r="B387" s="45"/>
      <x:c r="F387" s="53"/>
      <x:c r="G387" s="41"/>
      <x:c r="H387" s="53"/>
    </x:row>
    <x:row r="388">
      <x:c r="A388" s="41"/>
      <x:c r="B388" s="45"/>
      <x:c r="F388" s="53"/>
      <x:c r="G388" s="41"/>
      <x:c r="H388" s="53"/>
    </x:row>
    <x:row r="389">
      <x:c r="A389" s="41"/>
      <x:c r="B389" s="45"/>
      <x:c r="F389" s="53"/>
      <x:c r="G389" s="41"/>
      <x:c r="H389" s="53"/>
    </x:row>
    <x:row r="390">
      <x:c r="A390" s="41"/>
      <x:c r="B390" s="45"/>
      <x:c r="F390" s="53"/>
      <x:c r="G390" s="41"/>
      <x:c r="H390" s="53"/>
    </x:row>
    <x:row r="391">
      <x:c r="A391" s="41"/>
      <x:c r="B391" s="45"/>
      <x:c r="F391" s="53"/>
      <x:c r="G391" s="41"/>
      <x:c r="H391" s="53"/>
    </x:row>
    <x:row r="392">
      <x:c r="A392" s="41"/>
      <x:c r="B392" s="45"/>
      <x:c r="F392" s="53"/>
      <x:c r="G392" s="41"/>
      <x:c r="H392" s="53"/>
    </x:row>
    <x:row r="393">
      <x:c r="A393" s="41"/>
      <x:c r="B393" s="45"/>
      <x:c r="F393" s="53"/>
      <x:c r="G393" s="41"/>
      <x:c r="H393" s="53"/>
    </x:row>
    <x:row r="394">
      <x:c r="A394" s="41"/>
      <x:c r="B394" s="45"/>
      <x:c r="F394" s="53"/>
      <x:c r="G394" s="41"/>
      <x:c r="H394" s="53"/>
    </x:row>
    <x:row r="395">
      <x:c r="A395" s="41"/>
      <x:c r="B395" s="45"/>
      <x:c r="F395" s="53"/>
      <x:c r="G395" s="41"/>
      <x:c r="H395" s="53"/>
    </x:row>
    <x:row r="396">
      <x:c r="A396" s="41"/>
      <x:c r="B396" s="45"/>
      <x:c r="F396" s="53"/>
      <x:c r="G396" s="41"/>
      <x:c r="H396" s="53"/>
    </x:row>
    <x:row r="397">
      <x:c r="A397" s="41"/>
      <x:c r="B397" s="45"/>
      <x:c r="F397" s="53"/>
      <x:c r="G397" s="41"/>
      <x:c r="H397" s="53"/>
    </x:row>
    <x:row r="398">
      <x:c r="A398" s="41"/>
      <x:c r="B398" s="45"/>
      <x:c r="F398" s="53"/>
      <x:c r="G398" s="41"/>
      <x:c r="H398" s="53"/>
    </x:row>
    <x:row r="399">
      <x:c r="A399" s="41"/>
      <x:c r="B399" s="45"/>
      <x:c r="F399" s="53"/>
      <x:c r="G399" s="41"/>
      <x:c r="H399" s="53"/>
    </x:row>
    <x:row r="400">
      <x:c r="A400" s="41"/>
      <x:c r="B400" s="45"/>
      <x:c r="F400" s="53"/>
      <x:c r="G400" s="41"/>
      <x:c r="H400" s="53"/>
    </x:row>
    <x:row r="401">
      <x:c r="A401" s="41"/>
      <x:c r="B401" s="45"/>
      <x:c r="F401" s="53"/>
      <x:c r="G401" s="41"/>
      <x:c r="H401" s="53"/>
    </x:row>
    <x:row r="402">
      <x:c r="A402" s="41"/>
      <x:c r="B402" s="45"/>
      <x:c r="F402" s="53"/>
      <x:c r="G402" s="41"/>
      <x:c r="H402" s="53"/>
    </x:row>
    <x:row r="403">
      <x:c r="A403" s="41"/>
      <x:c r="B403" s="45"/>
      <x:c r="F403" s="53"/>
      <x:c r="G403" s="41"/>
      <x:c r="H403" s="53"/>
    </x:row>
    <x:row r="404">
      <x:c r="A404" s="41"/>
      <x:c r="B404" s="45"/>
      <x:c r="F404" s="53"/>
      <x:c r="G404" s="41"/>
      <x:c r="H404" s="53"/>
    </x:row>
    <x:row r="405">
      <x:c r="A405" s="41"/>
      <x:c r="B405" s="45"/>
      <x:c r="F405" s="53"/>
      <x:c r="G405" s="41"/>
      <x:c r="H405" s="53"/>
    </x:row>
    <x:row r="406">
      <x:c r="A406" s="41"/>
      <x:c r="B406" s="45"/>
      <x:c r="F406" s="53"/>
      <x:c r="G406" s="41"/>
      <x:c r="H406" s="53"/>
    </x:row>
    <x:row r="407">
      <x:c r="A407" s="41"/>
      <x:c r="B407" s="45"/>
      <x:c r="F407" s="53"/>
      <x:c r="G407" s="41"/>
      <x:c r="H407" s="53"/>
    </x:row>
    <x:row r="408">
      <x:c r="A408" s="41"/>
      <x:c r="B408" s="45"/>
      <x:c r="F408" s="53"/>
      <x:c r="G408" s="41"/>
      <x:c r="H408" s="53"/>
    </x:row>
    <x:row r="409">
      <x:c r="A409" s="41"/>
      <x:c r="B409" s="45"/>
      <x:c r="F409" s="53"/>
      <x:c r="G409" s="41"/>
      <x:c r="H409" s="53"/>
    </x:row>
    <x:row r="410">
      <x:c r="A410" s="41"/>
      <x:c r="B410" s="45"/>
      <x:c r="F410" s="53"/>
      <x:c r="G410" s="41"/>
      <x:c r="H410" s="53"/>
    </x:row>
    <x:row r="411">
      <x:c r="A411" s="41"/>
      <x:c r="B411" s="45"/>
      <x:c r="F411" s="53"/>
      <x:c r="G411" s="41"/>
      <x:c r="H411" s="53"/>
    </x:row>
    <x:row r="412">
      <x:c r="A412" s="41"/>
      <x:c r="B412" s="45"/>
      <x:c r="F412" s="53"/>
      <x:c r="G412" s="41"/>
      <x:c r="H412" s="53"/>
    </x:row>
    <x:row r="413">
      <x:c r="A413" s="41"/>
      <x:c r="B413" s="45"/>
      <x:c r="F413" s="53"/>
      <x:c r="G413" s="41"/>
      <x:c r="H413" s="53"/>
    </x:row>
    <x:row r="414">
      <x:c r="A414" s="41"/>
      <x:c r="B414" s="45"/>
      <x:c r="F414" s="53"/>
      <x:c r="G414" s="41"/>
      <x:c r="H414" s="53"/>
    </x:row>
    <x:row r="415">
      <x:c r="A415" s="41"/>
      <x:c r="B415" s="45"/>
      <x:c r="F415" s="53"/>
      <x:c r="G415" s="41"/>
      <x:c r="H415" s="53"/>
    </x:row>
    <x:row r="416">
      <x:c r="A416" s="41"/>
      <x:c r="B416" s="45"/>
      <x:c r="F416" s="53"/>
      <x:c r="G416" s="41"/>
      <x:c r="H416" s="53"/>
    </x:row>
    <x:row r="417">
      <x:c r="A417" s="41"/>
      <x:c r="B417" s="45"/>
      <x:c r="F417" s="53"/>
      <x:c r="G417" s="41"/>
      <x:c r="H417" s="53"/>
    </x:row>
    <x:row r="418">
      <x:c r="A418" s="41"/>
      <x:c r="B418" s="45"/>
      <x:c r="F418" s="53"/>
      <x:c r="G418" s="41"/>
      <x:c r="H418" s="53"/>
    </x:row>
    <x:row r="419">
      <x:c r="A419" s="41"/>
      <x:c r="B419" s="45"/>
      <x:c r="F419" s="53"/>
      <x:c r="G419" s="41"/>
      <x:c r="H419" s="53"/>
    </x:row>
    <x:row r="420">
      <x:c r="A420" s="41"/>
      <x:c r="B420" s="45"/>
      <x:c r="F420" s="53"/>
      <x:c r="G420" s="41"/>
      <x:c r="H420" s="53"/>
    </x:row>
    <x:row r="421">
      <x:c r="A421" s="41"/>
      <x:c r="B421" s="45"/>
      <x:c r="F421" s="53"/>
      <x:c r="G421" s="41"/>
      <x:c r="H421" s="53"/>
    </x:row>
    <x:row r="422">
      <x:c r="A422" s="41"/>
      <x:c r="B422" s="45"/>
      <x:c r="F422" s="53"/>
      <x:c r="G422" s="41"/>
      <x:c r="H422" s="53"/>
    </x:row>
    <x:row r="423">
      <x:c r="A423" s="41"/>
      <x:c r="B423" s="45"/>
      <x:c r="F423" s="53"/>
      <x:c r="G423" s="41"/>
      <x:c r="H423" s="53"/>
    </x:row>
    <x:row r="424">
      <x:c r="A424" s="41"/>
      <x:c r="B424" s="45"/>
      <x:c r="F424" s="53"/>
      <x:c r="G424" s="41"/>
      <x:c r="H424" s="53"/>
    </x:row>
    <x:row r="425">
      <x:c r="A425" s="41"/>
      <x:c r="B425" s="45"/>
      <x:c r="F425" s="53"/>
      <x:c r="G425" s="41"/>
      <x:c r="H425" s="53"/>
    </x:row>
    <x:row r="426">
      <x:c r="A426" s="41"/>
      <x:c r="B426" s="45"/>
      <x:c r="F426" s="53"/>
      <x:c r="G426" s="41"/>
      <x:c r="H426" s="53"/>
    </x:row>
    <x:row r="427">
      <x:c r="A427" s="41"/>
      <x:c r="B427" s="45"/>
      <x:c r="F427" s="53"/>
      <x:c r="G427" s="41"/>
      <x:c r="H427" s="53"/>
    </x:row>
    <x:row r="428">
      <x:c r="A428" s="41"/>
      <x:c r="B428" s="45"/>
      <x:c r="F428" s="53"/>
      <x:c r="G428" s="41"/>
      <x:c r="H428" s="53"/>
    </x:row>
    <x:row r="429">
      <x:c r="A429" s="41"/>
      <x:c r="B429" s="45"/>
      <x:c r="F429" s="53"/>
      <x:c r="G429" s="41"/>
      <x:c r="H429" s="53"/>
    </x:row>
    <x:row r="430">
      <x:c r="A430" s="41"/>
      <x:c r="B430" s="45"/>
      <x:c r="F430" s="53"/>
      <x:c r="G430" s="41"/>
      <x:c r="H430" s="53"/>
    </x:row>
    <x:row r="431">
      <x:c r="A431" s="41"/>
      <x:c r="B431" s="45"/>
      <x:c r="F431" s="53"/>
      <x:c r="G431" s="41"/>
      <x:c r="H431" s="53"/>
    </x:row>
    <x:row r="432">
      <x:c r="A432" s="41"/>
      <x:c r="B432" s="45"/>
      <x:c r="F432" s="53"/>
      <x:c r="G432" s="41"/>
      <x:c r="H432" s="53"/>
    </x:row>
    <x:row r="433">
      <x:c r="A433" s="41"/>
      <x:c r="B433" s="45"/>
      <x:c r="F433" s="53"/>
      <x:c r="G433" s="41"/>
      <x:c r="H433" s="53"/>
    </x:row>
    <x:row r="434">
      <x:c r="A434" s="41"/>
      <x:c r="B434" s="45"/>
      <x:c r="F434" s="53"/>
      <x:c r="G434" s="41"/>
      <x:c r="H434" s="53"/>
    </x:row>
    <x:row r="435">
      <x:c r="A435" s="41"/>
      <x:c r="B435" s="45"/>
      <x:c r="F435" s="53"/>
      <x:c r="G435" s="41"/>
      <x:c r="H435" s="53"/>
    </x:row>
    <x:row r="436">
      <x:c r="A436" s="41"/>
      <x:c r="B436" s="45"/>
      <x:c r="F436" s="53"/>
      <x:c r="G436" s="41"/>
      <x:c r="H436" s="53"/>
    </x:row>
    <x:row r="437">
      <x:c r="A437" s="41"/>
      <x:c r="B437" s="45"/>
      <x:c r="F437" s="53"/>
      <x:c r="G437" s="41"/>
      <x:c r="H437" s="53"/>
    </x:row>
    <x:row r="438">
      <x:c r="A438" s="41"/>
      <x:c r="B438" s="45"/>
      <x:c r="F438" s="53"/>
      <x:c r="G438" s="41"/>
      <x:c r="H438" s="53"/>
    </x:row>
    <x:row r="439">
      <x:c r="A439" s="41"/>
      <x:c r="B439" s="45"/>
      <x:c r="F439" s="53"/>
      <x:c r="G439" s="41"/>
      <x:c r="H439" s="53"/>
    </x:row>
    <x:row r="440">
      <x:c r="A440" s="41"/>
      <x:c r="B440" s="45"/>
      <x:c r="F440" s="53"/>
      <x:c r="G440" s="41"/>
      <x:c r="H440" s="53"/>
    </x:row>
    <x:row r="441">
      <x:c r="A441" s="41"/>
      <x:c r="B441" s="45"/>
      <x:c r="F441" s="53"/>
      <x:c r="G441" s="41"/>
      <x:c r="H441" s="53"/>
    </x:row>
    <x:row r="442">
      <x:c r="A442" s="41"/>
      <x:c r="B442" s="45"/>
      <x:c r="F442" s="53"/>
      <x:c r="G442" s="41"/>
      <x:c r="H442" s="53"/>
    </x:row>
    <x:row r="443">
      <x:c r="A443" s="41"/>
      <x:c r="B443" s="45"/>
      <x:c r="F443" s="53"/>
      <x:c r="G443" s="41"/>
      <x:c r="H443" s="53"/>
    </x:row>
    <x:row r="444">
      <x:c r="A444" s="41"/>
      <x:c r="B444" s="45"/>
      <x:c r="F444" s="53"/>
      <x:c r="G444" s="41"/>
      <x:c r="H444" s="53"/>
    </x:row>
    <x:row r="445">
      <x:c r="A445" s="41"/>
      <x:c r="B445" s="45"/>
      <x:c r="F445" s="53"/>
      <x:c r="G445" s="41"/>
      <x:c r="H445" s="53"/>
    </x:row>
    <x:row r="446">
      <x:c r="A446" s="41"/>
      <x:c r="B446" s="45"/>
      <x:c r="F446" s="53"/>
      <x:c r="G446" s="41"/>
      <x:c r="H446" s="53"/>
    </x:row>
    <x:row r="447">
      <x:c r="A447" s="41"/>
      <x:c r="B447" s="45"/>
      <x:c r="F447" s="53"/>
      <x:c r="G447" s="41"/>
      <x:c r="H447" s="53"/>
    </x:row>
    <x:row r="448">
      <x:c r="A448" s="41"/>
      <x:c r="B448" s="45"/>
      <x:c r="F448" s="53"/>
      <x:c r="G448" s="41"/>
      <x:c r="H448" s="53"/>
    </x:row>
    <x:row r="449">
      <x:c r="A449" s="41"/>
      <x:c r="B449" s="45"/>
      <x:c r="F449" s="53"/>
      <x:c r="G449" s="41"/>
      <x:c r="H449" s="53"/>
    </x:row>
    <x:row r="450">
      <x:c r="A450" s="41"/>
      <x:c r="B450" s="45"/>
      <x:c r="F450" s="53"/>
      <x:c r="G450" s="41"/>
      <x:c r="H450" s="53"/>
    </x:row>
    <x:row r="451">
      <x:c r="A451" s="41"/>
      <x:c r="B451" s="45"/>
      <x:c r="F451" s="53"/>
      <x:c r="G451" s="41"/>
      <x:c r="H451" s="53"/>
    </x:row>
    <x:row r="452">
      <x:c r="A452" s="41"/>
      <x:c r="B452" s="45"/>
      <x:c r="F452" s="53"/>
      <x:c r="G452" s="41"/>
      <x:c r="H452" s="53"/>
    </x:row>
    <x:row r="453">
      <x:c r="A453" s="41"/>
      <x:c r="B453" s="45"/>
      <x:c r="F453" s="53"/>
      <x:c r="G453" s="41"/>
      <x:c r="H453" s="53"/>
    </x:row>
    <x:row r="454">
      <x:c r="A454" s="41"/>
      <x:c r="B454" s="45"/>
      <x:c r="F454" s="53"/>
      <x:c r="G454" s="41"/>
      <x:c r="H454" s="53"/>
    </x:row>
    <x:row r="455">
      <x:c r="A455" s="41"/>
      <x:c r="B455" s="45"/>
      <x:c r="F455" s="53"/>
      <x:c r="G455" s="41"/>
      <x:c r="H455" s="53"/>
    </x:row>
    <x:row r="456">
      <x:c r="A456" s="41"/>
      <x:c r="B456" s="45"/>
      <x:c r="F456" s="53"/>
      <x:c r="G456" s="41"/>
      <x:c r="H456" s="53"/>
    </x:row>
    <x:row r="457">
      <x:c r="A457" s="41"/>
      <x:c r="B457" s="45"/>
      <x:c r="F457" s="53"/>
      <x:c r="G457" s="41"/>
      <x:c r="H457" s="53"/>
    </x:row>
    <x:row r="458">
      <x:c r="A458" s="41"/>
      <x:c r="B458" s="45"/>
      <x:c r="F458" s="53"/>
      <x:c r="G458" s="41"/>
      <x:c r="H458" s="53"/>
    </x:row>
    <x:row r="459">
      <x:c r="A459" s="41"/>
      <x:c r="B459" s="45"/>
      <x:c r="F459" s="53"/>
      <x:c r="G459" s="41"/>
      <x:c r="H459" s="53"/>
    </x:row>
    <x:row r="460">
      <x:c r="A460" s="41"/>
      <x:c r="B460" s="45"/>
      <x:c r="F460" s="53"/>
      <x:c r="G460" s="41"/>
      <x:c r="H460" s="53"/>
    </x:row>
    <x:row r="461">
      <x:c r="A461" s="41"/>
      <x:c r="B461" s="45"/>
      <x:c r="F461" s="53"/>
      <x:c r="G461" s="41"/>
      <x:c r="H461" s="53"/>
    </x:row>
    <x:row r="462">
      <x:c r="A462" s="41"/>
      <x:c r="B462" s="45"/>
      <x:c r="F462" s="53"/>
      <x:c r="G462" s="41"/>
      <x:c r="H462" s="53"/>
    </x:row>
    <x:row r="463">
      <x:c r="A463" s="41"/>
      <x:c r="B463" s="45"/>
      <x:c r="F463" s="53"/>
      <x:c r="G463" s="41"/>
      <x:c r="H463" s="53"/>
    </x:row>
    <x:row r="464">
      <x:c r="A464" s="41"/>
      <x:c r="B464" s="45"/>
      <x:c r="F464" s="53"/>
      <x:c r="G464" s="41"/>
      <x:c r="H464" s="53"/>
    </x:row>
    <x:row r="465">
      <x:c r="A465" s="41"/>
      <x:c r="B465" s="45"/>
      <x:c r="F465" s="53"/>
      <x:c r="G465" s="41"/>
      <x:c r="H465" s="53"/>
    </x:row>
    <x:row r="466">
      <x:c r="A466" s="41"/>
      <x:c r="B466" s="45"/>
      <x:c r="F466" s="53"/>
      <x:c r="G466" s="41"/>
      <x:c r="H466" s="53"/>
    </x:row>
    <x:row r="467">
      <x:c r="A467" s="41"/>
      <x:c r="B467" s="45"/>
      <x:c r="F467" s="53"/>
      <x:c r="G467" s="41"/>
      <x:c r="H467" s="53"/>
    </x:row>
    <x:row r="468">
      <x:c r="A468" s="41"/>
      <x:c r="B468" s="45"/>
      <x:c r="F468" s="53"/>
      <x:c r="G468" s="41"/>
      <x:c r="H468" s="53"/>
    </x:row>
    <x:row r="469">
      <x:c r="A469" s="41"/>
      <x:c r="B469" s="45"/>
      <x:c r="F469" s="53"/>
      <x:c r="G469" s="41"/>
      <x:c r="H469" s="53"/>
    </x:row>
    <x:row r="470">
      <x:c r="A470" s="41"/>
      <x:c r="B470" s="45"/>
      <x:c r="F470" s="53"/>
      <x:c r="G470" s="41"/>
      <x:c r="H470" s="53"/>
    </x:row>
    <x:row r="471">
      <x:c r="A471" s="41"/>
      <x:c r="B471" s="45"/>
      <x:c r="F471" s="53"/>
      <x:c r="G471" s="41"/>
      <x:c r="H471" s="53"/>
    </x:row>
    <x:row r="472">
      <x:c r="A472" s="41"/>
      <x:c r="B472" s="45"/>
      <x:c r="F472" s="53"/>
      <x:c r="G472" s="41"/>
      <x:c r="H472" s="53"/>
    </x:row>
    <x:row r="473">
      <x:c r="A473" s="41"/>
      <x:c r="B473" s="45"/>
      <x:c r="F473" s="53"/>
      <x:c r="G473" s="41"/>
      <x:c r="H473" s="53"/>
    </x:row>
    <x:row r="474">
      <x:c r="A474" s="41"/>
      <x:c r="B474" s="45"/>
      <x:c r="F474" s="53"/>
      <x:c r="G474" s="41"/>
      <x:c r="H474" s="53"/>
    </x:row>
    <x:row r="475">
      <x:c r="A475" s="41"/>
      <x:c r="B475" s="45"/>
      <x:c r="F475" s="53"/>
      <x:c r="G475" s="41"/>
      <x:c r="H475" s="53"/>
    </x:row>
    <x:row r="476">
      <x:c r="A476" s="41"/>
      <x:c r="B476" s="45"/>
      <x:c r="F476" s="53"/>
      <x:c r="G476" s="41"/>
      <x:c r="H476" s="53"/>
    </x:row>
    <x:row r="477">
      <x:c r="A477" s="41"/>
      <x:c r="B477" s="45"/>
      <x:c r="F477" s="53"/>
      <x:c r="G477" s="41"/>
      <x:c r="H477" s="53"/>
    </x:row>
    <x:row r="478">
      <x:c r="A478" s="41"/>
      <x:c r="B478" s="45"/>
      <x:c r="F478" s="53"/>
      <x:c r="G478" s="41"/>
      <x:c r="H478" s="53"/>
    </x:row>
    <x:row r="479">
      <x:c r="A479" s="41"/>
      <x:c r="B479" s="45"/>
      <x:c r="F479" s="53"/>
      <x:c r="G479" s="41"/>
      <x:c r="H479" s="53"/>
    </x:row>
    <x:row r="480">
      <x:c r="A480" s="41"/>
      <x:c r="B480" s="45"/>
      <x:c r="F480" s="53"/>
      <x:c r="G480" s="41"/>
      <x:c r="H480" s="53"/>
    </x:row>
    <x:row r="481">
      <x:c r="A481" s="41"/>
      <x:c r="B481" s="45"/>
      <x:c r="F481" s="53"/>
      <x:c r="G481" s="41"/>
      <x:c r="H481" s="53"/>
    </x:row>
    <x:row r="482">
      <x:c r="A482" s="41"/>
      <x:c r="B482" s="45"/>
      <x:c r="F482" s="53"/>
      <x:c r="G482" s="41"/>
      <x:c r="H482" s="53"/>
    </x:row>
    <x:row r="483">
      <x:c r="A483" s="41"/>
      <x:c r="B483" s="45"/>
      <x:c r="F483" s="53"/>
      <x:c r="G483" s="41"/>
      <x:c r="H483" s="53"/>
    </x:row>
    <x:row r="484">
      <x:c r="A484" s="41"/>
      <x:c r="B484" s="45"/>
      <x:c r="F484" s="53"/>
      <x:c r="G484" s="41"/>
      <x:c r="H484" s="53"/>
    </x:row>
    <x:row r="485">
      <x:c r="A485" s="41"/>
      <x:c r="B485" s="45"/>
      <x:c r="F485" s="53"/>
      <x:c r="G485" s="41"/>
      <x:c r="H485" s="53"/>
    </x:row>
    <x:row r="486">
      <x:c r="A486" s="41"/>
      <x:c r="B486" s="45"/>
      <x:c r="F486" s="53"/>
      <x:c r="G486" s="41"/>
      <x:c r="H486" s="53"/>
    </x:row>
    <x:row r="487">
      <x:c r="A487" s="41"/>
      <x:c r="B487" s="45"/>
      <x:c r="F487" s="53"/>
      <x:c r="G487" s="41"/>
      <x:c r="H487" s="53"/>
    </x:row>
    <x:row r="488">
      <x:c r="A488" s="41"/>
      <x:c r="B488" s="45"/>
      <x:c r="F488" s="53"/>
      <x:c r="G488" s="41"/>
      <x:c r="H488" s="53"/>
    </x:row>
    <x:row r="489">
      <x:c r="A489" s="41"/>
      <x:c r="B489" s="45"/>
      <x:c r="F489" s="53"/>
      <x:c r="G489" s="41"/>
      <x:c r="H489" s="53"/>
    </x:row>
    <x:row r="490">
      <x:c r="A490" s="41"/>
      <x:c r="B490" s="45"/>
      <x:c r="F490" s="53"/>
      <x:c r="G490" s="41"/>
      <x:c r="H490" s="53"/>
    </x:row>
    <x:row r="491">
      <x:c r="A491" s="41"/>
      <x:c r="B491" s="45"/>
      <x:c r="F491" s="53"/>
      <x:c r="G491" s="41"/>
      <x:c r="H491" s="53"/>
    </x:row>
    <x:row r="492">
      <x:c r="A492" s="41"/>
      <x:c r="B492" s="45"/>
      <x:c r="F492" s="53"/>
      <x:c r="G492" s="41"/>
      <x:c r="H492" s="53"/>
    </x:row>
    <x:row r="493">
      <x:c r="A493" s="41"/>
      <x:c r="B493" s="45"/>
      <x:c r="F493" s="53"/>
      <x:c r="G493" s="41"/>
      <x:c r="H493" s="53"/>
    </x:row>
    <x:row r="494">
      <x:c r="A494" s="41"/>
      <x:c r="B494" s="45"/>
      <x:c r="F494" s="53"/>
      <x:c r="G494" s="41"/>
      <x:c r="H494" s="53"/>
    </x:row>
    <x:row r="495">
      <x:c r="A495" s="41"/>
      <x:c r="B495" s="45"/>
      <x:c r="F495" s="53"/>
      <x:c r="G495" s="41"/>
      <x:c r="H495" s="53"/>
    </x:row>
    <x:row r="496">
      <x:c r="A496" s="41"/>
      <x:c r="B496" s="45"/>
      <x:c r="F496" s="53"/>
      <x:c r="G496" s="41"/>
      <x:c r="H496" s="53"/>
    </x:row>
    <x:row r="497">
      <x:c r="A497" s="41"/>
      <x:c r="B497" s="45"/>
      <x:c r="F497" s="53"/>
      <x:c r="G497" s="41"/>
      <x:c r="H497" s="53"/>
    </x:row>
    <x:row r="498">
      <x:c r="A498" s="41"/>
      <x:c r="B498" s="45"/>
      <x:c r="F498" s="53"/>
      <x:c r="G498" s="41"/>
      <x:c r="H498" s="53"/>
    </x:row>
    <x:row r="499">
      <x:c r="A499" s="41"/>
      <x:c r="B499" s="45"/>
      <x:c r="F499" s="53"/>
      <x:c r="G499" s="41"/>
      <x:c r="H499" s="53"/>
    </x:row>
    <x:row r="500">
      <x:c r="A500" s="41"/>
      <x:c r="B500" s="45"/>
      <x:c r="F500" s="53"/>
      <x:c r="G500" s="41"/>
      <x:c r="H500" s="53"/>
    </x:row>
    <x:row r="501">
      <x:c r="A501" s="41"/>
      <x:c r="B501" s="45"/>
      <x:c r="F501" s="53"/>
      <x:c r="G501" s="41"/>
      <x:c r="H501" s="53"/>
    </x:row>
    <x:row r="502">
      <x:c r="A502" s="41"/>
      <x:c r="B502" s="45"/>
      <x:c r="F502" s="53"/>
      <x:c r="G502" s="41"/>
      <x:c r="H502" s="53"/>
    </x:row>
    <x:row r="503">
      <x:c r="A503" s="41"/>
      <x:c r="B503" s="45"/>
      <x:c r="F503" s="53"/>
      <x:c r="G503" s="41"/>
      <x:c r="H503" s="53"/>
    </x:row>
    <x:row r="504">
      <x:c r="A504" s="41"/>
      <x:c r="B504" s="45"/>
      <x:c r="F504" s="53"/>
      <x:c r="G504" s="41"/>
      <x:c r="H504" s="53"/>
    </x:row>
    <x:row r="505">
      <x:c r="A505" s="45"/>
      <x:c r="F505" s="53"/>
      <x:c r="G505" s="41"/>
    </x:row>
    <x:row r="506">
      <x:c r="A506" s="45"/>
      <x:c r="F506" s="53"/>
      <x:c r="G506" s="41"/>
    </x:row>
    <x:row r="507">
      <x:c r="A507" s="45"/>
      <x:c r="F507" s="53"/>
      <x:c r="G507" s="41"/>
    </x:row>
    <x:row r="508">
      <x:c r="A508" s="45"/>
      <x:c r="F508" s="53"/>
      <x:c r="G508" s="41"/>
    </x:row>
    <x:row r="509">
      <x:c r="A509" s="45"/>
      <x:c r="F509" s="53"/>
      <x:c r="G509" s="41"/>
    </x:row>
    <x:row r="510">
      <x:c r="A510" s="45"/>
      <x:c r="F510" s="53"/>
      <x:c r="G510" s="41"/>
    </x:row>
    <x:row r="511">
      <x:c r="A511" s="45"/>
      <x:c r="F511" s="53"/>
      <x:c r="G511" s="41"/>
    </x:row>
    <x:row r="512">
      <x:c r="A512" s="45"/>
      <x:c r="F512" s="53"/>
      <x:c r="G512" s="41"/>
    </x:row>
    <x:row r="513">
      <x:c r="A513" s="45"/>
      <x:c r="F513" s="53"/>
      <x:c r="G513" s="41"/>
    </x:row>
    <x:row r="514">
      <x:c r="A514" s="45"/>
      <x:c r="F514" s="53"/>
      <x:c r="G514" s="41"/>
    </x:row>
  </x:sheetData>
  <x:mergeCells>
    <x:mergeCell ref="A1:K1"/>
    <x:mergeCell ref="A2:K2"/>
    <x:mergeCell ref="A4:K4"/>
    <x:mergeCell ref="A14:J14"/>
  </x:mergeCells>
  <x:conditionalFormatting sqref="K6:K504">
    <x:cfRule type="expression" dxfId="10" priority="1">
      <x:formula>K6="Uygun"</x:formula>
    </x:cfRule>
    <x:cfRule type="expression" dxfId="11" priority="2">
      <x:formula>AND(K6&lt;&gt;"",K6&lt;&gt;"Uygun")</x:formula>
    </x:cfRule>
  </x:conditionalFormatting>
  <x:conditionalFormatting sqref="J16:J514">
    <x:cfRule type="expression" dxfId="12" priority="3">
      <x:formula>J16="Uygun"</x:formula>
    </x:cfRule>
    <x:cfRule type="expression" dxfId="13" priority="4">
      <x:formula>AND(J16&lt;&gt;"",J16&lt;&gt;"Uygun")</x:formula>
    </x:cfRule>
  </x:conditionalFormatting>
  <x:dataValidations count="8">
    <x:dataValidation operator="between" sqref="B6:B504">
      <x:formula1>1</x:formula1>
      <x:formula2>9999</x:formula2>
    </x:dataValidation>
    <x:dataValidation type="list" sqref="D6:D504">
      <x:formula1>"Matematik,Fen Bilimleri,Fizik,Kimya,Biyoloji,Türkçe,Diğer"</x:formula1>
    </x:dataValidation>
    <x:dataValidation type="list" sqref="G6:G504">
      <x:formula1>"Verildi,Tamamlandı,Eksik,Yapılmadı,Kontrol edildi"</x:formula1>
    </x:dataValidation>
    <x:dataValidation type="list" sqref="J6:J504">
      <x:formula1>"Mevcut Kayıt,Excel Girişi,Google Form,Google Sheets,CSV İçe Aktarım"</x:formula1>
    </x:dataValidation>
    <x:dataValidation operator="between" sqref="A16:A514">
      <x:formula1>1</x:formula1>
      <x:formula2>9999</x:formula2>
    </x:dataValidation>
    <x:dataValidation type="list" sqref="C16:C514">
      <x:formula1>"Matematik,Fen Bilimleri,Fizik,Kimya,Biyoloji,Türkçe,Diğer"</x:formula1>
    </x:dataValidation>
    <x:dataValidation type="list" sqref="E16:E514">
      <x:formula1>"Başlanmadı,Anlatıldı,Soru çözülüyor,Tekrar gerekli,Tamamlandı"</x:formula1>
    </x:dataValidation>
    <x:dataValidation type="list" sqref="I16:I514">
      <x:formula1>"Mevcut Kayıt,Excel Girişi,Google Form,Google Sheets,CSV İçe Aktarım"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b4d542c72014f61"/>
    <x:tablePart xmlns:r="http://schemas.openxmlformats.org/officeDocument/2006/relationships" r:id="R388472696599425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3" hidden="0" customWidth="1"/>
    <x:col min="4" max="4" width="29" hidden="0" customWidth="1"/>
    <x:col min="5" max="5" width="11" hidden="0" customWidth="1"/>
    <x:col min="6" max="6" width="13" hidden="0" customWidth="1"/>
    <x:col min="7" max="7" width="13" hidden="0" customWidth="1"/>
    <x:col min="8" max="8" width="14" hidden="0" customWidth="1"/>
    <x:col min="9" max="9" width="22" hidden="0" customWidth="1"/>
    <x:col min="10" max="10" width="37" hidden="0" customWidth="1"/>
    <x:col min="11" max="11" width="18" hidden="0" customWidth="1"/>
    <x:col min="12" max="12" width="25" hidden="0" customWidth="1"/>
    <x:col min="13" max="13" width="18" hidden="0" customWidth="1"/>
  </x:cols>
  <x:sheetData>
    <x:row r="1" ht="26" customHeight="1">
      <x:c r="A1" s="5" t="str">
        <x:v>SINAV SONUÇLARI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3" t="str">
        <x:v>Kod sayısal girilir. Ad, net değişimi, kayıt ID ve kontrol otomatik gelir.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22" t="str">
        <x:v>Tarih</x:v>
      </x:c>
      <x:c r="B4" s="22" t="str">
        <x:v>Öğrenci Kodu</x:v>
      </x:c>
      <x:c r="C4" s="22" t="str">
        <x:v>Ad Soyad</x:v>
      </x:c>
      <x:c r="D4" s="22" t="str">
        <x:v>Sınav Türü / Adı</x:v>
      </x:c>
      <x:c r="E4" s="22" t="str">
        <x:v>Net</x:v>
      </x:c>
      <x:c r="F4" s="22" t="str">
        <x:v>Süre (dk)</x:v>
      </x:c>
      <x:c r="G4" s="22" t="str">
        <x:v>Önceki Net</x:v>
      </x:c>
      <x:c r="H4" s="22" t="str">
        <x:v>Net Değişimi</x:v>
      </x:c>
      <x:c r="I4" s="22" t="str">
        <x:v>Birincil Hata Türü</x:v>
      </x:c>
      <x:c r="J4" s="22" t="str">
        <x:v>Öğretmen Değerlendirmesi</x:v>
      </x:c>
      <x:c r="K4" s="22" t="str">
        <x:v>Kayıt Kaynağı</x:v>
      </x:c>
      <x:c r="L4" s="22" t="str">
        <x:v>Kayıt ID</x:v>
      </x:c>
      <x:c r="M4" s="22" t="str">
        <x:v>Kayıt Kontrolü</x:v>
      </x:c>
    </x:row>
    <x:row r="5">
      <x:c r="A5" s="40" t="n">
        <x:v>46223</x:v>
      </x:c>
      <x:c r="B5" s="44" t="n">
        <x:v>1</x:v>
      </x:c>
      <x:c r="C5" s="36" t="str">
        <x:f>IF(B5="","",IFERROR(INDEX('02_Öğrenciler'!$B$5:$B$203,MATCH(B5,'02_Öğrenciler'!$A$5:$A$203,0)),"KOD HATALI"))</x:f>
        <x:v>Ahmet Yılmaz</x:v>
      </x:c>
      <x:c r="D5" s="30" t="str">
        <x:v>Matematik Mini Deneme #2</x:v>
      </x:c>
      <x:c r="E5" s="30" t="n">
        <x:v>14.5</x:v>
      </x:c>
      <x:c r="F5" s="30" t="n">
        <x:v>38</x:v>
      </x:c>
      <x:c r="G5" s="30" t="n">
        <x:v>11</x:v>
      </x:c>
      <x:c r="H5" s="36" t="n">
        <x:f>IF(OR(E5="",G5=""),"",E5-G5)</x:f>
        <x:v>3.5</x:v>
      </x:c>
      <x:c r="I5" s="30" t="str">
        <x:v>İşlem hatası</x:v>
      </x:c>
      <x:c r="J5" s="30" t="str">
        <x:v>Net artışı var, işlem hızı gelişmeli</x:v>
      </x:c>
      <x:c r="K5" s="30" t="str">
        <x:v>Mevcut Kayıt</x:v>
      </x:c>
      <x:c r="L5" s="36" t="str">
        <x:f>IF(A5="","",TEXT(A5,"yyyymmdd")&amp;"-"&amp;B5&amp;"-SINAV-"&amp;TEXT(ROW()-4,"0000"))</x:f>
        <x:v>20260720-1-SINAV-0001</x:v>
      </x:c>
      <x:c r="M5" s="36" t="str">
        <x:f>IF(A5="","",IF(A5&lt;DATE(2020,1,1),"Tarih Hatası",IF(COUNTIF('02_Öğrenciler'!$A$5:$A$203,B5)=0,"Öğrenci Kodu Hatalı",IF(OR(D5="",E5=""),"Eksik Alan","Uygun"))))</x:f>
        <x:v>Uygun</x:v>
      </x:c>
    </x:row>
    <x:row r="6">
      <x:c r="A6" s="40" t="n">
        <x:v>46221</x:v>
      </x:c>
      <x:c r="B6" s="44" t="n">
        <x:v>2</x:v>
      </x:c>
      <x:c r="C6" s="36" t="str">
        <x:f>IF(B6="","",IFERROR(INDEX('02_Öğrenciler'!$B$5:$B$203,MATCH(B6,'02_Öğrenciler'!$A$5:$A$203,0)),"KOD HATALI"))</x:f>
        <x:v>Zeynep Kaya</x:v>
      </x:c>
      <x:c r="D6" s="30" t="str">
        <x:v>LGS Genel Deneme #1</x:v>
      </x:c>
      <x:c r="E6" s="30" t="n">
        <x:v>18.5</x:v>
      </x:c>
      <x:c r="F6" s="30" t="n">
        <x:v>35</x:v>
      </x:c>
      <x:c r="G6" s="30" t="n">
        <x:v>17.5</x:v>
      </x:c>
      <x:c r="H6" s="36" t="n">
        <x:f>IF(OR(E6="",G6=""),"",E6-G6)</x:f>
        <x:v>1</x:v>
      </x:c>
      <x:c r="I6" s="30" t="str">
        <x:v>Dikkat hatası</x:v>
      </x:c>
      <x:c r="J6" s="30" t="str">
        <x:v>Çok iyi derece, hedef 20/20</x:v>
      </x:c>
      <x:c r="K6" s="30" t="str">
        <x:v>Mevcut Kayıt</x:v>
      </x:c>
      <x:c r="L6" s="36" t="str">
        <x:f>IF(A6="","",TEXT(A6,"yyyymmdd")&amp;"-"&amp;B6&amp;"-SINAV-"&amp;TEXT(ROW()-4,"0000"))</x:f>
        <x:v>20260718-2-SINAV-0002</x:v>
      </x:c>
      <x:c r="M6" s="36" t="str">
        <x:f>IF(A6="","",IF(A6&lt;DATE(2020,1,1),"Tarih Hatası",IF(COUNTIF('02_Öğrenciler'!$A$5:$A$203,B6)=0,"Öğrenci Kodu Hatalı",IF(OR(D6="",E6=""),"Eksik Alan","Uygun"))))</x:f>
        <x:v>Uygun</x:v>
      </x:c>
    </x:row>
    <x:row r="7">
      <x:c r="A7" s="40" t="n">
        <x:v>46218</x:v>
      </x:c>
      <x:c r="B7" s="44" t="n">
        <x:v>3</x:v>
      </x:c>
      <x:c r="C7" s="36" t="str">
        <x:f>IF(B7="","",IFERROR(INDEX('02_Öğrenciler'!$B$5:$B$203,MATCH(B7,'02_Öğrenciler'!$A$5:$A$203,0)),"KOD HATALI"))</x:f>
        <x:v>Mehmet Demir</x:v>
      </x:c>
      <x:c r="D7" s="30" t="str">
        <x:v>Çarpanlar Konu Tarama</x:v>
      </x:c>
      <x:c r="E7" s="30" t="n">
        <x:v>9</x:v>
      </x:c>
      <x:c r="F7" s="30" t="n">
        <x:v>45</x:v>
      </x:c>
      <x:c r="G7" s="30" t="n">
        <x:v>8.5</x:v>
      </x:c>
      <x:c r="H7" s="36" t="n">
        <x:f>IF(OR(E7="",G7=""),"",E7-G7)</x:f>
        <x:v>0.5</x:v>
      </x:c>
      <x:c r="I7" s="30" t="str">
        <x:v>Bilgi eksikliği</x:v>
      </x:c>
      <x:c r="J7" s="30" t="str">
        <x:v>Temel kurallar tekrar edilmeli</x:v>
      </x:c>
      <x:c r="K7" s="30" t="str">
        <x:v>Mevcut Kayıt</x:v>
      </x:c>
      <x:c r="L7" s="36" t="str">
        <x:f>IF(A7="","",TEXT(A7,"yyyymmdd")&amp;"-"&amp;B7&amp;"-SINAV-"&amp;TEXT(ROW()-4,"0000"))</x:f>
        <x:v>20260715-3-SINAV-0003</x:v>
      </x:c>
      <x:c r="M7" s="36" t="str">
        <x:f>IF(A7="","",IF(A7&lt;DATE(2020,1,1),"Tarih Hatası",IF(COUNTIF('02_Öğrenciler'!$A$5:$A$203,B7)=0,"Öğrenci Kodu Hatalı",IF(OR(D7="",E7=""),"Eksik Alan","Uygun"))))</x:f>
        <x:v>Uygun</x:v>
      </x:c>
    </x:row>
    <x:row r="8">
      <x:c r="A8" s="40" t="n">
        <x:v>46222</x:v>
      </x:c>
      <x:c r="B8" s="44" t="n">
        <x:v>4</x:v>
      </x:c>
      <x:c r="C8" s="36" t="str">
        <x:f>IF(B8="","",IFERROR(INDEX('02_Öğrenciler'!$B$5:$B$203,MATCH(B8,'02_Öğrenciler'!$A$5:$A$203,0)),"KOD HATALI"))</x:f>
        <x:v>Elif Şahin</x:v>
      </x:c>
      <x:c r="D8" s="30" t="str">
        <x:v>Matematik Mini Deneme #2</x:v>
      </x:c>
      <x:c r="E8" s="30" t="n">
        <x:v>13</x:v>
      </x:c>
      <x:c r="F8" s="30" t="n">
        <x:v>40</x:v>
      </x:c>
      <x:c r="G8" s="30" t="n">
        <x:v>14</x:v>
      </x:c>
      <x:c r="H8" s="36" t="n">
        <x:f>IF(OR(E8="",G8=""),"",E8-G8)</x:f>
        <x:v>-1</x:v>
      </x:c>
      <x:c r="I8" s="30" t="str">
        <x:v>Zaman yetiştirememe</x:v>
      </x:c>
      <x:c r="J8" s="30" t="str">
        <x:v>Son 3 soru boş kaldı</x:v>
      </x:c>
      <x:c r="K8" s="30" t="str">
        <x:v>Mevcut Kayıt</x:v>
      </x:c>
      <x:c r="L8" s="36" t="str">
        <x:f>IF(A8="","",TEXT(A8,"yyyymmdd")&amp;"-"&amp;B8&amp;"-SINAV-"&amp;TEXT(ROW()-4,"0000"))</x:f>
        <x:v>20260719-4-SINAV-0004</x:v>
      </x:c>
      <x:c r="M8" s="36" t="str">
        <x:f>IF(A8="","",IF(A8&lt;DATE(2020,1,1),"Tarih Hatası",IF(COUNTIF('02_Öğrenciler'!$A$5:$A$203,B8)=0,"Öğrenci Kodu Hatalı",IF(OR(D8="",E8=""),"Eksik Alan","Uygun"))))</x:f>
        <x:v>Uygun</x:v>
      </x:c>
    </x:row>
    <x:row r="9">
      <x:c r="A9" s="40" t="n">
        <x:v>46220</x:v>
      </x:c>
      <x:c r="B9" s="44" t="n">
        <x:v>5</x:v>
      </x:c>
      <x:c r="C9" s="36" t="str">
        <x:f>IF(B9="","",IFERROR(INDEX('02_Öğrenciler'!$B$5:$B$203,MATCH(B9,'02_Öğrenciler'!$A$5:$A$203,0)),"KOD HATALI"))</x:f>
        <x:v>Can Öztürk</x:v>
      </x:c>
      <x:c r="D9" s="30" t="str">
        <x:v>LGS Genel Deneme #1</x:v>
      </x:c>
      <x:c r="E9" s="30" t="n">
        <x:v>19</x:v>
      </x:c>
      <x:c r="F9" s="30" t="n">
        <x:v>32</x:v>
      </x:c>
      <x:c r="G9" s="30" t="n">
        <x:v>18</x:v>
      </x:c>
      <x:c r="H9" s="36" t="n">
        <x:f>IF(OR(E9="",G9=""),"",E9-G9)</x:f>
        <x:v>1</x:v>
      </x:c>
      <x:c r="I9" s="30" t="str">
        <x:v>Formül unutma</x:v>
      </x:c>
      <x:c r="J9" s="30" t="str">
        <x:v>Neredeyse tam net</x:v>
      </x:c>
      <x:c r="K9" s="30" t="str">
        <x:v>Mevcut Kayıt</x:v>
      </x:c>
      <x:c r="L9" s="36" t="str">
        <x:f>IF(A9="","",TEXT(A9,"yyyymmdd")&amp;"-"&amp;B9&amp;"-SINAV-"&amp;TEXT(ROW()-4,"0000"))</x:f>
        <x:v>20260717-5-SINAV-0005</x:v>
      </x:c>
      <x:c r="M9" s="36" t="str">
        <x:f>IF(A9="","",IF(A9&lt;DATE(2020,1,1),"Tarih Hatası",IF(COUNTIF('02_Öğrenciler'!$A$5:$A$203,B9)=0,"Öğrenci Kodu Hatalı",IF(OR(D9="",E9=""),"Eksik Alan","Uygun"))))</x:f>
        <x:v>Uygun</x:v>
      </x:c>
    </x:row>
    <x:row r="10">
      <x:c r="A10" s="40"/>
      <x:c r="B10" s="44"/>
      <x:c r="C10" s="36" t="str">
        <x:f>IF(B10="","",IFERROR(INDEX('02_Öğrenciler'!$B$5:$B$203,MATCH(B10,'02_Öğrenciler'!$A$5:$A$203,0)),"KOD HATALI"))</x:f>
      </x:c>
      <x:c r="D10" s="30"/>
      <x:c r="E10" s="30"/>
      <x:c r="F10" s="30"/>
      <x:c r="G10" s="30"/>
      <x:c r="H10" s="36" t="str">
        <x:f>IF(OR(E10="",G10=""),"",E10-G10)</x:f>
      </x:c>
      <x:c r="I10" s="30"/>
      <x:c r="J10" s="30"/>
      <x:c r="K10" s="30" t="str">
        <x:f>IF(A10="","","Excel Girişi")</x:f>
      </x:c>
      <x:c r="L10" s="36" t="str">
        <x:f>IF(A10="","",TEXT(A10,"yyyymmdd")&amp;"-"&amp;B10&amp;"-SINAV-"&amp;TEXT(ROW()-4,"0000"))</x:f>
      </x:c>
      <x:c r="M10" s="36" t="str">
        <x:f>IF(A10="","",IF(A10&lt;DATE(2020,1,1),"Tarih Hatası",IF(COUNTIF('02_Öğrenciler'!$A$5:$A$203,B10)=0,"Öğrenci Kodu Hatalı",IF(OR(D10="",E10=""),"Eksik Alan","Uygun"))))</x:f>
      </x:c>
    </x:row>
    <x:row r="11">
      <x:c r="A11" s="41"/>
      <x:c r="B11" s="45"/>
    </x:row>
    <x:row r="12">
      <x:c r="A12" s="41"/>
      <x:c r="B12" s="45"/>
    </x:row>
    <x:row r="13">
      <x:c r="A13" s="41"/>
      <x:c r="B13" s="45"/>
    </x:row>
    <x:row r="14">
      <x:c r="A14" s="41"/>
      <x:c r="B14" s="45"/>
    </x:row>
    <x:row r="15">
      <x:c r="A15" s="41"/>
      <x:c r="B15" s="45"/>
    </x:row>
    <x:row r="16">
      <x:c r="A16" s="41"/>
      <x:c r="B16" s="45"/>
    </x:row>
    <x:row r="17">
      <x:c r="A17" s="41"/>
      <x:c r="B17" s="45"/>
    </x:row>
    <x:row r="18">
      <x:c r="A18" s="41"/>
      <x:c r="B18" s="45"/>
    </x:row>
    <x:row r="19">
      <x:c r="A19" s="41"/>
      <x:c r="B19" s="45"/>
    </x:row>
    <x:row r="20">
      <x:c r="A20" s="41"/>
      <x:c r="B20" s="45"/>
    </x:row>
    <x:row r="21">
      <x:c r="A21" s="41"/>
      <x:c r="B21" s="45"/>
    </x:row>
    <x:row r="22">
      <x:c r="A22" s="41"/>
      <x:c r="B22" s="45"/>
    </x:row>
    <x:row r="23">
      <x:c r="A23" s="41"/>
      <x:c r="B23" s="45"/>
    </x:row>
    <x:row r="24">
      <x:c r="A24" s="41"/>
      <x:c r="B24" s="45"/>
    </x:row>
    <x:row r="25">
      <x:c r="A25" s="41"/>
      <x:c r="B25" s="45"/>
    </x:row>
    <x:row r="26">
      <x:c r="A26" s="41"/>
      <x:c r="B26" s="45"/>
    </x:row>
    <x:row r="27">
      <x:c r="A27" s="41"/>
      <x:c r="B27" s="45"/>
    </x:row>
    <x:row r="28">
      <x:c r="A28" s="41"/>
      <x:c r="B28" s="45"/>
    </x:row>
    <x:row r="29">
      <x:c r="A29" s="41"/>
      <x:c r="B29" s="45"/>
    </x:row>
    <x:row r="30">
      <x:c r="A30" s="41"/>
      <x:c r="B30" s="45"/>
    </x:row>
    <x:row r="31">
      <x:c r="A31" s="41"/>
      <x:c r="B31" s="45"/>
    </x:row>
    <x:row r="32">
      <x:c r="A32" s="41"/>
      <x:c r="B32" s="45"/>
    </x:row>
    <x:row r="33">
      <x:c r="A33" s="41"/>
      <x:c r="B33" s="45"/>
    </x:row>
    <x:row r="34">
      <x:c r="A34" s="41"/>
      <x:c r="B34" s="45"/>
    </x:row>
    <x:row r="35">
      <x:c r="A35" s="41"/>
      <x:c r="B35" s="45"/>
    </x:row>
    <x:row r="36">
      <x:c r="A36" s="41"/>
      <x:c r="B36" s="45"/>
    </x:row>
    <x:row r="37">
      <x:c r="A37" s="41"/>
      <x:c r="B37" s="45"/>
    </x:row>
    <x:row r="38">
      <x:c r="A38" s="41"/>
      <x:c r="B38" s="45"/>
    </x:row>
    <x:row r="39">
      <x:c r="A39" s="41"/>
      <x:c r="B39" s="45"/>
    </x:row>
    <x:row r="40">
      <x:c r="A40" s="41"/>
      <x:c r="B40" s="45"/>
    </x:row>
    <x:row r="41">
      <x:c r="A41" s="41"/>
      <x:c r="B41" s="45"/>
    </x:row>
    <x:row r="42">
      <x:c r="A42" s="41"/>
      <x:c r="B42" s="45"/>
    </x:row>
    <x:row r="43">
      <x:c r="A43" s="41"/>
      <x:c r="B43" s="45"/>
    </x:row>
    <x:row r="44">
      <x:c r="A44" s="41"/>
      <x:c r="B44" s="45"/>
    </x:row>
    <x:row r="45">
      <x:c r="A45" s="41"/>
      <x:c r="B45" s="45"/>
    </x:row>
    <x:row r="46">
      <x:c r="A46" s="41"/>
      <x:c r="B46" s="45"/>
    </x:row>
    <x:row r="47">
      <x:c r="A47" s="41"/>
      <x:c r="B47" s="45"/>
    </x:row>
    <x:row r="48">
      <x:c r="A48" s="41"/>
      <x:c r="B48" s="45"/>
    </x:row>
    <x:row r="49">
      <x:c r="A49" s="41"/>
      <x:c r="B49" s="45"/>
    </x:row>
    <x:row r="50">
      <x:c r="A50" s="41"/>
      <x:c r="B50" s="45"/>
    </x:row>
    <x:row r="51">
      <x:c r="A51" s="41"/>
      <x:c r="B51" s="45"/>
    </x:row>
    <x:row r="52">
      <x:c r="A52" s="41"/>
      <x:c r="B52" s="45"/>
    </x:row>
    <x:row r="53">
      <x:c r="A53" s="41"/>
      <x:c r="B53" s="45"/>
    </x:row>
    <x:row r="54">
      <x:c r="A54" s="41"/>
      <x:c r="B54" s="45"/>
    </x:row>
    <x:row r="55">
      <x:c r="A55" s="41"/>
      <x:c r="B55" s="45"/>
    </x:row>
    <x:row r="56">
      <x:c r="A56" s="41"/>
      <x:c r="B56" s="45"/>
    </x:row>
    <x:row r="57">
      <x:c r="A57" s="41"/>
      <x:c r="B57" s="45"/>
    </x:row>
    <x:row r="58">
      <x:c r="A58" s="41"/>
      <x:c r="B58" s="45"/>
    </x:row>
    <x:row r="59">
      <x:c r="A59" s="41"/>
      <x:c r="B59" s="45"/>
    </x:row>
    <x:row r="60">
      <x:c r="A60" s="41"/>
      <x:c r="B60" s="45"/>
    </x:row>
    <x:row r="61">
      <x:c r="A61" s="41"/>
      <x:c r="B61" s="45"/>
    </x:row>
    <x:row r="62">
      <x:c r="A62" s="41"/>
      <x:c r="B62" s="45"/>
    </x:row>
    <x:row r="63">
      <x:c r="A63" s="41"/>
      <x:c r="B63" s="45"/>
    </x:row>
    <x:row r="64">
      <x:c r="A64" s="41"/>
      <x:c r="B64" s="45"/>
    </x:row>
    <x:row r="65">
      <x:c r="A65" s="41"/>
      <x:c r="B65" s="45"/>
    </x:row>
    <x:row r="66">
      <x:c r="A66" s="41"/>
      <x:c r="B66" s="45"/>
    </x:row>
    <x:row r="67">
      <x:c r="A67" s="41"/>
      <x:c r="B67" s="45"/>
    </x:row>
    <x:row r="68">
      <x:c r="A68" s="41"/>
      <x:c r="B68" s="45"/>
    </x:row>
    <x:row r="69">
      <x:c r="A69" s="41"/>
      <x:c r="B69" s="45"/>
    </x:row>
    <x:row r="70">
      <x:c r="A70" s="41"/>
      <x:c r="B70" s="45"/>
    </x:row>
    <x:row r="71">
      <x:c r="A71" s="41"/>
      <x:c r="B71" s="45"/>
    </x:row>
    <x:row r="72">
      <x:c r="A72" s="41"/>
      <x:c r="B72" s="45"/>
    </x:row>
    <x:row r="73">
      <x:c r="A73" s="41"/>
      <x:c r="B73" s="45"/>
    </x:row>
    <x:row r="74">
      <x:c r="A74" s="41"/>
      <x:c r="B74" s="45"/>
    </x:row>
    <x:row r="75">
      <x:c r="A75" s="41"/>
      <x:c r="B75" s="45"/>
    </x:row>
    <x:row r="76">
      <x:c r="A76" s="41"/>
      <x:c r="B76" s="45"/>
    </x:row>
    <x:row r="77">
      <x:c r="A77" s="41"/>
      <x:c r="B77" s="45"/>
    </x:row>
    <x:row r="78">
      <x:c r="A78" s="41"/>
      <x:c r="B78" s="45"/>
    </x:row>
    <x:row r="79">
      <x:c r="A79" s="41"/>
      <x:c r="B79" s="45"/>
    </x:row>
    <x:row r="80">
      <x:c r="A80" s="41"/>
      <x:c r="B80" s="45"/>
    </x:row>
    <x:row r="81">
      <x:c r="A81" s="41"/>
      <x:c r="B81" s="45"/>
    </x:row>
    <x:row r="82">
      <x:c r="A82" s="41"/>
      <x:c r="B82" s="45"/>
    </x:row>
    <x:row r="83">
      <x:c r="A83" s="41"/>
      <x:c r="B83" s="45"/>
    </x:row>
    <x:row r="84">
      <x:c r="A84" s="41"/>
      <x:c r="B84" s="45"/>
    </x:row>
    <x:row r="85">
      <x:c r="A85" s="41"/>
      <x:c r="B85" s="45"/>
    </x:row>
    <x:row r="86">
      <x:c r="A86" s="41"/>
      <x:c r="B86" s="45"/>
    </x:row>
    <x:row r="87">
      <x:c r="A87" s="41"/>
      <x:c r="B87" s="45"/>
    </x:row>
    <x:row r="88">
      <x:c r="A88" s="41"/>
      <x:c r="B88" s="45"/>
    </x:row>
    <x:row r="89">
      <x:c r="A89" s="41"/>
      <x:c r="B89" s="45"/>
    </x:row>
    <x:row r="90">
      <x:c r="A90" s="41"/>
      <x:c r="B90" s="45"/>
    </x:row>
    <x:row r="91">
      <x:c r="A91" s="41"/>
      <x:c r="B91" s="45"/>
    </x:row>
    <x:row r="92">
      <x:c r="A92" s="41"/>
      <x:c r="B92" s="45"/>
    </x:row>
    <x:row r="93">
      <x:c r="A93" s="41"/>
      <x:c r="B93" s="45"/>
    </x:row>
    <x:row r="94">
      <x:c r="A94" s="41"/>
      <x:c r="B94" s="45"/>
    </x:row>
    <x:row r="95">
      <x:c r="A95" s="41"/>
      <x:c r="B95" s="45"/>
    </x:row>
    <x:row r="96">
      <x:c r="A96" s="41"/>
      <x:c r="B96" s="45"/>
    </x:row>
    <x:row r="97">
      <x:c r="A97" s="41"/>
      <x:c r="B97" s="45"/>
    </x:row>
    <x:row r="98">
      <x:c r="A98" s="41"/>
      <x:c r="B98" s="45"/>
    </x:row>
    <x:row r="99">
      <x:c r="A99" s="41"/>
      <x:c r="B99" s="45"/>
    </x:row>
    <x:row r="100">
      <x:c r="A100" s="41"/>
      <x:c r="B100" s="45"/>
    </x:row>
    <x:row r="101">
      <x:c r="A101" s="41"/>
      <x:c r="B101" s="45"/>
    </x:row>
    <x:row r="102">
      <x:c r="A102" s="41"/>
      <x:c r="B102" s="45"/>
    </x:row>
    <x:row r="103">
      <x:c r="A103" s="41"/>
      <x:c r="B103" s="45"/>
    </x:row>
    <x:row r="104">
      <x:c r="A104" s="41"/>
      <x:c r="B104" s="45"/>
    </x:row>
    <x:row r="105">
      <x:c r="A105" s="41"/>
      <x:c r="B105" s="45"/>
    </x:row>
    <x:row r="106">
      <x:c r="A106" s="41"/>
      <x:c r="B106" s="45"/>
    </x:row>
    <x:row r="107">
      <x:c r="A107" s="41"/>
      <x:c r="B107" s="45"/>
    </x:row>
    <x:row r="108">
      <x:c r="A108" s="41"/>
      <x:c r="B108" s="45"/>
    </x:row>
    <x:row r="109">
      <x:c r="A109" s="41"/>
      <x:c r="B109" s="45"/>
    </x:row>
    <x:row r="110">
      <x:c r="A110" s="41"/>
      <x:c r="B110" s="45"/>
    </x:row>
    <x:row r="111">
      <x:c r="A111" s="41"/>
      <x:c r="B111" s="45"/>
    </x:row>
    <x:row r="112">
      <x:c r="A112" s="41"/>
      <x:c r="B112" s="45"/>
    </x:row>
    <x:row r="113">
      <x:c r="A113" s="41"/>
      <x:c r="B113" s="45"/>
    </x:row>
    <x:row r="114">
      <x:c r="A114" s="41"/>
      <x:c r="B114" s="45"/>
    </x:row>
    <x:row r="115">
      <x:c r="A115" s="41"/>
      <x:c r="B115" s="45"/>
    </x:row>
    <x:row r="116">
      <x:c r="A116" s="41"/>
      <x:c r="B116" s="45"/>
    </x:row>
    <x:row r="117">
      <x:c r="A117" s="41"/>
      <x:c r="B117" s="45"/>
    </x:row>
    <x:row r="118">
      <x:c r="A118" s="41"/>
      <x:c r="B118" s="45"/>
    </x:row>
    <x:row r="119">
      <x:c r="A119" s="41"/>
      <x:c r="B119" s="45"/>
    </x:row>
    <x:row r="120">
      <x:c r="A120" s="41"/>
      <x:c r="B120" s="45"/>
    </x:row>
    <x:row r="121">
      <x:c r="A121" s="41"/>
      <x:c r="B121" s="45"/>
    </x:row>
    <x:row r="122">
      <x:c r="A122" s="41"/>
      <x:c r="B122" s="45"/>
    </x:row>
    <x:row r="123">
      <x:c r="A123" s="41"/>
      <x:c r="B123" s="45"/>
    </x:row>
    <x:row r="124">
      <x:c r="A124" s="41"/>
      <x:c r="B124" s="45"/>
    </x:row>
    <x:row r="125">
      <x:c r="A125" s="41"/>
      <x:c r="B125" s="45"/>
    </x:row>
    <x:row r="126">
      <x:c r="A126" s="41"/>
      <x:c r="B126" s="45"/>
    </x:row>
    <x:row r="127">
      <x:c r="A127" s="41"/>
      <x:c r="B127" s="45"/>
    </x:row>
    <x:row r="128">
      <x:c r="A128" s="41"/>
      <x:c r="B128" s="45"/>
    </x:row>
    <x:row r="129">
      <x:c r="A129" s="41"/>
      <x:c r="B129" s="45"/>
    </x:row>
    <x:row r="130">
      <x:c r="A130" s="41"/>
      <x:c r="B130" s="45"/>
    </x:row>
    <x:row r="131">
      <x:c r="A131" s="41"/>
      <x:c r="B131" s="45"/>
    </x:row>
    <x:row r="132">
      <x:c r="A132" s="41"/>
      <x:c r="B132" s="45"/>
    </x:row>
    <x:row r="133">
      <x:c r="A133" s="41"/>
      <x:c r="B133" s="45"/>
    </x:row>
    <x:row r="134">
      <x:c r="A134" s="41"/>
      <x:c r="B134" s="45"/>
    </x:row>
    <x:row r="135">
      <x:c r="A135" s="41"/>
      <x:c r="B135" s="45"/>
    </x:row>
    <x:row r="136">
      <x:c r="A136" s="41"/>
      <x:c r="B136" s="45"/>
    </x:row>
    <x:row r="137">
      <x:c r="A137" s="41"/>
      <x:c r="B137" s="45"/>
    </x:row>
    <x:row r="138">
      <x:c r="A138" s="41"/>
      <x:c r="B138" s="45"/>
    </x:row>
    <x:row r="139">
      <x:c r="A139" s="41"/>
      <x:c r="B139" s="45"/>
    </x:row>
    <x:row r="140">
      <x:c r="A140" s="41"/>
      <x:c r="B140" s="45"/>
    </x:row>
    <x:row r="141">
      <x:c r="A141" s="41"/>
      <x:c r="B141" s="45"/>
    </x:row>
    <x:row r="142">
      <x:c r="A142" s="41"/>
      <x:c r="B142" s="45"/>
    </x:row>
    <x:row r="143">
      <x:c r="A143" s="41"/>
      <x:c r="B143" s="45"/>
    </x:row>
    <x:row r="144">
      <x:c r="A144" s="41"/>
      <x:c r="B144" s="45"/>
    </x:row>
    <x:row r="145">
      <x:c r="A145" s="41"/>
      <x:c r="B145" s="45"/>
    </x:row>
    <x:row r="146">
      <x:c r="A146" s="41"/>
      <x:c r="B146" s="45"/>
    </x:row>
    <x:row r="147">
      <x:c r="A147" s="41"/>
      <x:c r="B147" s="45"/>
    </x:row>
    <x:row r="148">
      <x:c r="A148" s="41"/>
      <x:c r="B148" s="45"/>
    </x:row>
    <x:row r="149">
      <x:c r="A149" s="41"/>
      <x:c r="B149" s="45"/>
    </x:row>
    <x:row r="150">
      <x:c r="A150" s="41"/>
      <x:c r="B150" s="45"/>
    </x:row>
    <x:row r="151">
      <x:c r="A151" s="41"/>
      <x:c r="B151" s="45"/>
    </x:row>
    <x:row r="152">
      <x:c r="A152" s="41"/>
      <x:c r="B152" s="45"/>
    </x:row>
    <x:row r="153">
      <x:c r="A153" s="41"/>
      <x:c r="B153" s="45"/>
    </x:row>
    <x:row r="154">
      <x:c r="A154" s="41"/>
      <x:c r="B154" s="45"/>
    </x:row>
    <x:row r="155">
      <x:c r="A155" s="41"/>
      <x:c r="B155" s="45"/>
    </x:row>
    <x:row r="156">
      <x:c r="A156" s="41"/>
      <x:c r="B156" s="45"/>
    </x:row>
    <x:row r="157">
      <x:c r="A157" s="41"/>
      <x:c r="B157" s="45"/>
    </x:row>
    <x:row r="158">
      <x:c r="A158" s="41"/>
      <x:c r="B158" s="45"/>
    </x:row>
    <x:row r="159">
      <x:c r="A159" s="41"/>
      <x:c r="B159" s="45"/>
    </x:row>
    <x:row r="160">
      <x:c r="A160" s="41"/>
      <x:c r="B160" s="45"/>
    </x:row>
    <x:row r="161">
      <x:c r="A161" s="41"/>
      <x:c r="B161" s="45"/>
    </x:row>
    <x:row r="162">
      <x:c r="A162" s="41"/>
      <x:c r="B162" s="45"/>
    </x:row>
    <x:row r="163">
      <x:c r="A163" s="41"/>
      <x:c r="B163" s="45"/>
    </x:row>
    <x:row r="164">
      <x:c r="A164" s="41"/>
      <x:c r="B164" s="45"/>
    </x:row>
    <x:row r="165">
      <x:c r="A165" s="41"/>
      <x:c r="B165" s="45"/>
    </x:row>
    <x:row r="166">
      <x:c r="A166" s="41"/>
      <x:c r="B166" s="45"/>
    </x:row>
    <x:row r="167">
      <x:c r="A167" s="41"/>
      <x:c r="B167" s="45"/>
    </x:row>
    <x:row r="168">
      <x:c r="A168" s="41"/>
      <x:c r="B168" s="45"/>
    </x:row>
    <x:row r="169">
      <x:c r="A169" s="41"/>
      <x:c r="B169" s="45"/>
    </x:row>
    <x:row r="170">
      <x:c r="A170" s="41"/>
      <x:c r="B170" s="45"/>
    </x:row>
    <x:row r="171">
      <x:c r="A171" s="41"/>
      <x:c r="B171" s="45"/>
    </x:row>
    <x:row r="172">
      <x:c r="A172" s="41"/>
      <x:c r="B172" s="45"/>
    </x:row>
    <x:row r="173">
      <x:c r="A173" s="41"/>
      <x:c r="B173" s="45"/>
    </x:row>
    <x:row r="174">
      <x:c r="A174" s="41"/>
      <x:c r="B174" s="45"/>
    </x:row>
    <x:row r="175">
      <x:c r="A175" s="41"/>
      <x:c r="B175" s="45"/>
    </x:row>
    <x:row r="176">
      <x:c r="A176" s="41"/>
      <x:c r="B176" s="45"/>
    </x:row>
    <x:row r="177">
      <x:c r="A177" s="41"/>
      <x:c r="B177" s="45"/>
    </x:row>
    <x:row r="178">
      <x:c r="A178" s="41"/>
      <x:c r="B178" s="45"/>
    </x:row>
    <x:row r="179">
      <x:c r="A179" s="41"/>
      <x:c r="B179" s="45"/>
    </x:row>
    <x:row r="180">
      <x:c r="A180" s="41"/>
      <x:c r="B180" s="45"/>
    </x:row>
    <x:row r="181">
      <x:c r="A181" s="41"/>
      <x:c r="B181" s="45"/>
    </x:row>
    <x:row r="182">
      <x:c r="A182" s="41"/>
      <x:c r="B182" s="45"/>
    </x:row>
    <x:row r="183">
      <x:c r="A183" s="41"/>
      <x:c r="B183" s="45"/>
    </x:row>
    <x:row r="184">
      <x:c r="A184" s="41"/>
      <x:c r="B184" s="45"/>
    </x:row>
    <x:row r="185">
      <x:c r="A185" s="41"/>
      <x:c r="B185" s="45"/>
    </x:row>
    <x:row r="186">
      <x:c r="A186" s="41"/>
      <x:c r="B186" s="45"/>
    </x:row>
    <x:row r="187">
      <x:c r="A187" s="41"/>
      <x:c r="B187" s="45"/>
    </x:row>
    <x:row r="188">
      <x:c r="A188" s="41"/>
      <x:c r="B188" s="45"/>
    </x:row>
    <x:row r="189">
      <x:c r="A189" s="41"/>
      <x:c r="B189" s="45"/>
    </x:row>
    <x:row r="190">
      <x:c r="A190" s="41"/>
      <x:c r="B190" s="45"/>
    </x:row>
    <x:row r="191">
      <x:c r="A191" s="41"/>
      <x:c r="B191" s="45"/>
    </x:row>
    <x:row r="192">
      <x:c r="A192" s="41"/>
      <x:c r="B192" s="45"/>
    </x:row>
    <x:row r="193">
      <x:c r="A193" s="41"/>
      <x:c r="B193" s="45"/>
    </x:row>
    <x:row r="194">
      <x:c r="A194" s="41"/>
      <x:c r="B194" s="45"/>
    </x:row>
    <x:row r="195">
      <x:c r="A195" s="41"/>
      <x:c r="B195" s="45"/>
    </x:row>
    <x:row r="196">
      <x:c r="A196" s="41"/>
      <x:c r="B196" s="45"/>
    </x:row>
    <x:row r="197">
      <x:c r="A197" s="41"/>
      <x:c r="B197" s="45"/>
    </x:row>
    <x:row r="198">
      <x:c r="A198" s="41"/>
      <x:c r="B198" s="45"/>
    </x:row>
    <x:row r="199">
      <x:c r="A199" s="41"/>
      <x:c r="B199" s="45"/>
    </x:row>
    <x:row r="200">
      <x:c r="A200" s="41"/>
      <x:c r="B200" s="45"/>
    </x:row>
    <x:row r="201">
      <x:c r="A201" s="41"/>
      <x:c r="B201" s="45"/>
    </x:row>
    <x:row r="202">
      <x:c r="A202" s="41"/>
      <x:c r="B202" s="45"/>
    </x:row>
    <x:row r="203">
      <x:c r="A203" s="41"/>
      <x:c r="B203" s="45"/>
    </x:row>
    <x:row r="204">
      <x:c r="A204" s="41"/>
      <x:c r="B204" s="45"/>
    </x:row>
    <x:row r="205">
      <x:c r="A205" s="41"/>
      <x:c r="B205" s="45"/>
    </x:row>
    <x:row r="206">
      <x:c r="A206" s="41"/>
      <x:c r="B206" s="45"/>
    </x:row>
    <x:row r="207">
      <x:c r="A207" s="41"/>
      <x:c r="B207" s="45"/>
    </x:row>
    <x:row r="208">
      <x:c r="A208" s="41"/>
      <x:c r="B208" s="45"/>
    </x:row>
    <x:row r="209">
      <x:c r="A209" s="41"/>
      <x:c r="B209" s="45"/>
    </x:row>
    <x:row r="210">
      <x:c r="A210" s="41"/>
      <x:c r="B210" s="45"/>
    </x:row>
    <x:row r="211">
      <x:c r="A211" s="41"/>
      <x:c r="B211" s="45"/>
    </x:row>
    <x:row r="212">
      <x:c r="A212" s="41"/>
      <x:c r="B212" s="45"/>
    </x:row>
    <x:row r="213">
      <x:c r="A213" s="41"/>
      <x:c r="B213" s="45"/>
    </x:row>
    <x:row r="214">
      <x:c r="A214" s="41"/>
      <x:c r="B214" s="45"/>
    </x:row>
    <x:row r="215">
      <x:c r="A215" s="41"/>
      <x:c r="B215" s="45"/>
    </x:row>
    <x:row r="216">
      <x:c r="A216" s="41"/>
      <x:c r="B216" s="45"/>
    </x:row>
    <x:row r="217">
      <x:c r="A217" s="41"/>
      <x:c r="B217" s="45"/>
    </x:row>
    <x:row r="218">
      <x:c r="A218" s="41"/>
      <x:c r="B218" s="45"/>
    </x:row>
    <x:row r="219">
      <x:c r="A219" s="41"/>
      <x:c r="B219" s="45"/>
    </x:row>
    <x:row r="220">
      <x:c r="A220" s="41"/>
      <x:c r="B220" s="45"/>
    </x:row>
    <x:row r="221">
      <x:c r="A221" s="41"/>
      <x:c r="B221" s="45"/>
    </x:row>
    <x:row r="222">
      <x:c r="A222" s="41"/>
      <x:c r="B222" s="45"/>
    </x:row>
    <x:row r="223">
      <x:c r="A223" s="41"/>
      <x:c r="B223" s="45"/>
    </x:row>
    <x:row r="224">
      <x:c r="A224" s="41"/>
      <x:c r="B224" s="45"/>
    </x:row>
    <x:row r="225">
      <x:c r="A225" s="41"/>
      <x:c r="B225" s="45"/>
    </x:row>
    <x:row r="226">
      <x:c r="A226" s="41"/>
      <x:c r="B226" s="45"/>
    </x:row>
    <x:row r="227">
      <x:c r="A227" s="41"/>
      <x:c r="B227" s="45"/>
    </x:row>
    <x:row r="228">
      <x:c r="A228" s="41"/>
      <x:c r="B228" s="45"/>
    </x:row>
    <x:row r="229">
      <x:c r="A229" s="41"/>
      <x:c r="B229" s="45"/>
    </x:row>
    <x:row r="230">
      <x:c r="A230" s="41"/>
      <x:c r="B230" s="45"/>
    </x:row>
    <x:row r="231">
      <x:c r="A231" s="41"/>
      <x:c r="B231" s="45"/>
    </x:row>
    <x:row r="232">
      <x:c r="A232" s="41"/>
      <x:c r="B232" s="45"/>
    </x:row>
    <x:row r="233">
      <x:c r="A233" s="41"/>
      <x:c r="B233" s="45"/>
    </x:row>
    <x:row r="234">
      <x:c r="A234" s="41"/>
      <x:c r="B234" s="45"/>
    </x:row>
    <x:row r="235">
      <x:c r="A235" s="41"/>
      <x:c r="B235" s="45"/>
    </x:row>
    <x:row r="236">
      <x:c r="A236" s="41"/>
      <x:c r="B236" s="45"/>
    </x:row>
    <x:row r="237">
      <x:c r="A237" s="41"/>
      <x:c r="B237" s="45"/>
    </x:row>
    <x:row r="238">
      <x:c r="A238" s="41"/>
      <x:c r="B238" s="45"/>
    </x:row>
    <x:row r="239">
      <x:c r="A239" s="41"/>
      <x:c r="B239" s="45"/>
    </x:row>
    <x:row r="240">
      <x:c r="A240" s="41"/>
      <x:c r="B240" s="45"/>
    </x:row>
    <x:row r="241">
      <x:c r="A241" s="41"/>
      <x:c r="B241" s="45"/>
    </x:row>
    <x:row r="242">
      <x:c r="A242" s="41"/>
      <x:c r="B242" s="45"/>
    </x:row>
    <x:row r="243">
      <x:c r="A243" s="41"/>
      <x:c r="B243" s="45"/>
    </x:row>
    <x:row r="244">
      <x:c r="A244" s="41"/>
      <x:c r="B244" s="45"/>
    </x:row>
    <x:row r="245">
      <x:c r="A245" s="41"/>
      <x:c r="B245" s="45"/>
    </x:row>
    <x:row r="246">
      <x:c r="A246" s="41"/>
      <x:c r="B246" s="45"/>
    </x:row>
    <x:row r="247">
      <x:c r="A247" s="41"/>
      <x:c r="B247" s="45"/>
    </x:row>
    <x:row r="248">
      <x:c r="A248" s="41"/>
      <x:c r="B248" s="45"/>
    </x:row>
    <x:row r="249">
      <x:c r="A249" s="41"/>
      <x:c r="B249" s="45"/>
    </x:row>
    <x:row r="250">
      <x:c r="A250" s="41"/>
      <x:c r="B250" s="45"/>
    </x:row>
    <x:row r="251">
      <x:c r="A251" s="41"/>
      <x:c r="B251" s="45"/>
    </x:row>
    <x:row r="252">
      <x:c r="A252" s="41"/>
      <x:c r="B252" s="45"/>
    </x:row>
    <x:row r="253">
      <x:c r="A253" s="41"/>
      <x:c r="B253" s="45"/>
    </x:row>
    <x:row r="254">
      <x:c r="A254" s="41"/>
      <x:c r="B254" s="45"/>
    </x:row>
    <x:row r="255">
      <x:c r="A255" s="41"/>
      <x:c r="B255" s="45"/>
    </x:row>
    <x:row r="256">
      <x:c r="A256" s="41"/>
      <x:c r="B256" s="45"/>
    </x:row>
    <x:row r="257">
      <x:c r="A257" s="41"/>
      <x:c r="B257" s="45"/>
    </x:row>
    <x:row r="258">
      <x:c r="A258" s="41"/>
      <x:c r="B258" s="45"/>
    </x:row>
    <x:row r="259">
      <x:c r="A259" s="41"/>
      <x:c r="B259" s="45"/>
    </x:row>
    <x:row r="260">
      <x:c r="A260" s="41"/>
      <x:c r="B260" s="45"/>
    </x:row>
    <x:row r="261">
      <x:c r="A261" s="41"/>
      <x:c r="B261" s="45"/>
    </x:row>
    <x:row r="262">
      <x:c r="A262" s="41"/>
      <x:c r="B262" s="45"/>
    </x:row>
    <x:row r="263">
      <x:c r="A263" s="41"/>
      <x:c r="B263" s="45"/>
    </x:row>
    <x:row r="264">
      <x:c r="A264" s="41"/>
      <x:c r="B264" s="45"/>
    </x:row>
    <x:row r="265">
      <x:c r="A265" s="41"/>
      <x:c r="B265" s="45"/>
    </x:row>
    <x:row r="266">
      <x:c r="A266" s="41"/>
      <x:c r="B266" s="45"/>
    </x:row>
    <x:row r="267">
      <x:c r="A267" s="41"/>
      <x:c r="B267" s="45"/>
    </x:row>
    <x:row r="268">
      <x:c r="A268" s="41"/>
      <x:c r="B268" s="45"/>
    </x:row>
    <x:row r="269">
      <x:c r="A269" s="41"/>
      <x:c r="B269" s="45"/>
    </x:row>
    <x:row r="270">
      <x:c r="A270" s="41"/>
      <x:c r="B270" s="45"/>
    </x:row>
    <x:row r="271">
      <x:c r="A271" s="41"/>
      <x:c r="B271" s="45"/>
    </x:row>
    <x:row r="272">
      <x:c r="A272" s="41"/>
      <x:c r="B272" s="45"/>
    </x:row>
    <x:row r="273">
      <x:c r="A273" s="41"/>
      <x:c r="B273" s="45"/>
    </x:row>
    <x:row r="274">
      <x:c r="A274" s="41"/>
      <x:c r="B274" s="45"/>
    </x:row>
    <x:row r="275">
      <x:c r="A275" s="41"/>
      <x:c r="B275" s="45"/>
    </x:row>
    <x:row r="276">
      <x:c r="A276" s="41"/>
      <x:c r="B276" s="45"/>
    </x:row>
    <x:row r="277">
      <x:c r="A277" s="41"/>
      <x:c r="B277" s="45"/>
    </x:row>
    <x:row r="278">
      <x:c r="A278" s="41"/>
      <x:c r="B278" s="45"/>
    </x:row>
    <x:row r="279">
      <x:c r="A279" s="41"/>
      <x:c r="B279" s="45"/>
    </x:row>
    <x:row r="280">
      <x:c r="A280" s="41"/>
      <x:c r="B280" s="45"/>
    </x:row>
    <x:row r="281">
      <x:c r="A281" s="41"/>
      <x:c r="B281" s="45"/>
    </x:row>
    <x:row r="282">
      <x:c r="A282" s="41"/>
      <x:c r="B282" s="45"/>
    </x:row>
    <x:row r="283">
      <x:c r="A283" s="41"/>
      <x:c r="B283" s="45"/>
    </x:row>
    <x:row r="284">
      <x:c r="A284" s="41"/>
      <x:c r="B284" s="45"/>
    </x:row>
    <x:row r="285">
      <x:c r="A285" s="41"/>
      <x:c r="B285" s="45"/>
    </x:row>
    <x:row r="286">
      <x:c r="A286" s="41"/>
      <x:c r="B286" s="45"/>
    </x:row>
    <x:row r="287">
      <x:c r="A287" s="41"/>
      <x:c r="B287" s="45"/>
    </x:row>
    <x:row r="288">
      <x:c r="A288" s="41"/>
      <x:c r="B288" s="45"/>
    </x:row>
    <x:row r="289">
      <x:c r="A289" s="41"/>
      <x:c r="B289" s="45"/>
    </x:row>
    <x:row r="290">
      <x:c r="A290" s="41"/>
      <x:c r="B290" s="45"/>
    </x:row>
    <x:row r="291">
      <x:c r="A291" s="41"/>
      <x:c r="B291" s="45"/>
    </x:row>
    <x:row r="292">
      <x:c r="A292" s="41"/>
      <x:c r="B292" s="45"/>
    </x:row>
    <x:row r="293">
      <x:c r="A293" s="41"/>
      <x:c r="B293" s="45"/>
    </x:row>
    <x:row r="294">
      <x:c r="A294" s="41"/>
      <x:c r="B294" s="45"/>
    </x:row>
    <x:row r="295">
      <x:c r="A295" s="41"/>
      <x:c r="B295" s="45"/>
    </x:row>
    <x:row r="296">
      <x:c r="A296" s="41"/>
      <x:c r="B296" s="45"/>
    </x:row>
    <x:row r="297">
      <x:c r="A297" s="41"/>
      <x:c r="B297" s="45"/>
    </x:row>
    <x:row r="298">
      <x:c r="A298" s="41"/>
      <x:c r="B298" s="45"/>
    </x:row>
    <x:row r="299">
      <x:c r="A299" s="41"/>
      <x:c r="B299" s="45"/>
    </x:row>
    <x:row r="300">
      <x:c r="A300" s="41"/>
      <x:c r="B300" s="45"/>
    </x:row>
    <x:row r="301">
      <x:c r="A301" s="41"/>
      <x:c r="B301" s="45"/>
    </x:row>
    <x:row r="302">
      <x:c r="A302" s="41"/>
      <x:c r="B302" s="45"/>
    </x:row>
    <x:row r="303">
      <x:c r="A303" s="41"/>
      <x:c r="B303" s="45"/>
    </x:row>
    <x:row r="304">
      <x:c r="A304" s="41"/>
      <x:c r="B304" s="45"/>
    </x:row>
  </x:sheetData>
  <x:mergeCells>
    <x:mergeCell ref="A1:M1"/>
    <x:mergeCell ref="A2:M2"/>
  </x:mergeCells>
  <x:conditionalFormatting sqref="M5:M304">
    <x:cfRule type="expression" dxfId="14" priority="1">
      <x:formula>M5="Uygun"</x:formula>
    </x:cfRule>
    <x:cfRule type="expression" dxfId="15" priority="2">
      <x:formula>AND(M5&lt;&gt;"",M5&lt;&gt;"Uygun")</x:formula>
    </x:cfRule>
  </x:conditionalFormatting>
  <x:dataValidations count="3">
    <x:dataValidation operator="between" sqref="B5:B304">
      <x:formula1>1</x:formula1>
      <x:formula2>9999</x:formula2>
    </x:dataValidation>
    <x:dataValidation type="list" sqref="I5:I304">
      <x:formula1>"Bilgi eksikliği,İşlem hatası,Dikkat hatası,Soruyu anlamama,Zaman yetiştirememe,Formül unutma"</x:formula1>
    </x:dataValidation>
    <x:dataValidation type="list" sqref="K5:K304">
      <x:formula1>"Mevcut Kayıt,Excel Girişi,Google Form,Google Sheets,CSV İçe Aktarım"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0855daf55f4a9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3" hidden="0" customWidth="1"/>
    <x:col min="3" max="3" width="22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38" hidden="0" customWidth="1"/>
    <x:col min="9" max="9" width="18" hidden="0" customWidth="1"/>
    <x:col min="10" max="10" width="18" hidden="0" customWidth="1"/>
  </x:cols>
  <x:sheetData>
    <x:row r="1" ht="26" customHeight="1">
      <x:c r="A1" s="5" t="str">
        <x:v>VELİ GÖRÜŞMELERİ VE ÖDEME TAKİBİ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3" t="str">
        <x:v>İki eski sekme birleştirildi. Üst bölüm veli, alt bölüm ödeme kayıtlarıdır.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2" t="str">
        <x:v>VELİ GÖRÜŞMELERİ</x:v>
      </x:c>
      <x:c r="B4" s="62"/>
      <x:c r="C4" s="62"/>
      <x:c r="D4" s="62"/>
      <x:c r="E4" s="62"/>
      <x:c r="F4" s="62"/>
      <x:c r="G4" s="62"/>
      <x:c r="H4" s="62"/>
      <x:c r="I4" s="62"/>
    </x:row>
    <x:row r="5">
      <x:c r="A5" s="22" t="str">
        <x:v>Tarih</x:v>
      </x:c>
      <x:c r="B5" s="22" t="str">
        <x:v>Öğrenci Kodu</x:v>
      </x:c>
      <x:c r="C5" s="22" t="str">
        <x:v>Ad Soyad</x:v>
      </x:c>
      <x:c r="D5" s="22" t="str">
        <x:v>Görüşme Nedeni</x:v>
      </x:c>
      <x:c r="E5" s="22" t="str">
        <x:v>Görüşme Özeti / Veli Notu</x:v>
      </x:c>
      <x:c r="F5" s="22" t="str">
        <x:v>Alınan Aksiyon / Karar</x:v>
      </x:c>
      <x:c r="G5" s="22" t="str">
        <x:v>Sonraki Takip Tarihi</x:v>
      </x:c>
      <x:c r="H5" s="22" t="str">
        <x:v>Kayıt Kaynağı</x:v>
      </x:c>
      <x:c r="I5" s="22" t="str">
        <x:v>Kayıt Kontrolü</x:v>
      </x:c>
    </x:row>
    <x:row r="6">
      <x:c r="A6" s="40" t="n">
        <x:v>46218</x:v>
      </x:c>
      <x:c r="B6" s="44" t="n">
        <x:v>1</x:v>
      </x:c>
      <x:c r="C6" s="36" t="str">
        <x:f>IF(B6="","",IFERROR(INDEX('02_Öğrenciler'!$B$5:$B$203,MATCH(B6,'02_Öğrenciler'!$A$5:$A$203,0)),"KOD HATALI"))</x:f>
        <x:v>Ahmet Yılmaz</x:v>
      </x:c>
      <x:c r="D6" s="30" t="str">
        <x:v>Aylık Gelişim Bilgilendirmesi</x:v>
      </x:c>
      <x:c r="E6" s="30" t="str">
        <x:v>Net artışından veli memnun. Ödev takip saati kararlaştırıldı.</x:v>
      </x:c>
      <x:c r="F6" s="30" t="str">
        <x:v>Ödev saati 20:00 olarak sabitlendi</x:v>
      </x:c>
      <x:c r="G6" s="40"/>
      <x:c r="H6" s="30" t="str">
        <x:v>Mevcut Kayıt</x:v>
      </x:c>
      <x:c r="I6" s="36" t="str">
        <x:f>IF(A6="","",IF(A6&lt;DATE(2020,1,1),"Tarih Hatası",IF(COUNTIF('02_Öğrenciler'!$A$5:$A$203,B6)=0,"Öğrenci Kodu Hatalı",IF(OR(D6="",E6=""),"Eksik Alan","Uygun"))))</x:f>
        <x:v>Uygun</x:v>
      </x:c>
    </x:row>
    <x:row r="7">
      <x:c r="A7" s="40" t="n">
        <x:v>46213</x:v>
      </x:c>
      <x:c r="B7" s="44" t="n">
        <x:v>3</x:v>
      </x:c>
      <x:c r="C7" s="36" t="str">
        <x:f>IF(B7="","",IFERROR(INDEX('02_Öğrenciler'!$B$5:$B$203,MATCH(B7,'02_Öğrenciler'!$A$5:$A$203,0)),"KOD HATALI"))</x:f>
        <x:v>Mehmet Demir</x:v>
      </x:c>
      <x:c r="D7" s="30" t="str">
        <x:v>Eksik Ödev İkazı</x:v>
      </x:c>
      <x:c r="E7" s="30" t="str">
        <x:v>Veli evde çalışma ortamının düzenleneceğini belirtti.</x:v>
      </x:c>
      <x:c r="F7" s="30" t="str">
        <x:v>Haftalık takip çizelgesi veliye atılacak</x:v>
      </x:c>
      <x:c r="G7" s="40"/>
      <x:c r="H7" s="30" t="str">
        <x:v>Mevcut Kayıt</x:v>
      </x:c>
      <x:c r="I7" s="36" t="str">
        <x:f>IF(A7="","",IF(A7&lt;DATE(2020,1,1),"Tarih Hatası",IF(COUNTIF('02_Öğrenciler'!$A$5:$A$203,B7)=0,"Öğrenci Kodu Hatalı",IF(OR(D7="",E7=""),"Eksik Alan","Uygun"))))</x:f>
        <x:v>Uygun</x:v>
      </x:c>
    </x:row>
    <x:row r="8">
      <x:c r="A8" s="40"/>
      <x:c r="B8" s="44"/>
      <x:c r="C8" s="36" t="str">
        <x:f>IF(B8="","",IFERROR(INDEX('02_Öğrenciler'!$B$5:$B$203,MATCH(B8,'02_Öğrenciler'!$A$5:$A$203,0)),"KOD HATALI"))</x:f>
      </x:c>
      <x:c r="D8" s="30"/>
      <x:c r="E8" s="30"/>
      <x:c r="F8" s="30"/>
      <x:c r="G8" s="40"/>
      <x:c r="H8" s="30" t="str">
        <x:f>IF(A8="","","Excel Girişi")</x:f>
      </x:c>
      <x:c r="I8" s="36" t="str">
        <x:f>IF(A8="","",IF(A8&lt;DATE(2020,1,1),"Tarih Hatası",IF(COUNTIF('02_Öğrenciler'!$A$5:$A$203,B8)=0,"Öğrenci Kodu Hatalı",IF(OR(D8="",E8=""),"Eksik Alan","Uygun"))))</x:f>
      </x:c>
    </x:row>
    <x:row r="9">
      <x:c r="A9" s="41"/>
      <x:c r="B9" s="45"/>
      <x:c r="G9" s="41"/>
    </x:row>
    <x:row r="10">
      <x:c r="A10" s="41"/>
      <x:c r="B10" s="45"/>
      <x:c r="G10" s="41"/>
    </x:row>
    <x:row r="11">
      <x:c r="A11" s="41"/>
      <x:c r="B11" s="45"/>
      <x:c r="G11" s="41"/>
    </x:row>
    <x:row r="12">
      <x:c r="A12" s="74" t="str">
        <x:v>ÖDEME TAKİBİ</x:v>
      </x:c>
      <x:c r="B12" s="75"/>
      <x:c r="C12" s="62"/>
      <x:c r="D12" s="62"/>
      <x:c r="E12" s="62"/>
      <x:c r="F12" s="62"/>
      <x:c r="G12" s="74"/>
      <x:c r="H12" s="62"/>
      <x:c r="I12" s="62"/>
      <x:c r="J12" s="62"/>
    </x:row>
    <x:row r="13">
      <x:c r="A13" s="98" t="str">
        <x:v>Öğrenci Kodu</x:v>
      </x:c>
      <x:c r="B13" s="99" t="str">
        <x:v>Ad Soyad</x:v>
      </x:c>
      <x:c r="C13" s="22" t="str">
        <x:v>Aylık Anlaşılan Tutar</x:v>
      </x:c>
      <x:c r="D13" s="22" t="str">
        <x:v>Son Ödeme Tarihi</x:v>
      </x:c>
      <x:c r="E13" s="22" t="str">
        <x:v>Ödeme Durumu</x:v>
      </x:c>
      <x:c r="F13" s="22" t="str">
        <x:v>Ödenen Tutar</x:v>
      </x:c>
      <x:c r="G13" s="98" t="str">
        <x:v>Kalan Bakiye</x:v>
      </x:c>
      <x:c r="H13" s="22" t="str">
        <x:v>Notlar</x:v>
      </x:c>
      <x:c r="I13" s="22" t="str">
        <x:v>Kayıt Kaynağı</x:v>
      </x:c>
      <x:c r="J13" s="22" t="str">
        <x:v>Kayıt Kontrolü</x:v>
      </x:c>
    </x:row>
    <x:row r="14">
      <x:c r="A14" s="40" t="n">
        <x:v>1</x:v>
      </x:c>
      <x:c r="B14" s="126" t="str">
        <x:f>IF(A14="","",IFERROR(INDEX('02_Öğrenciler'!$B$5:$B$203,MATCH(A14,'02_Öğrenciler'!$A$5:$A$203,0)),"KOD HATALI"))</x:f>
        <x:v>Ahmet Yılmaz</x:v>
      </x:c>
      <x:c r="C14" s="136" t="n">
        <x:v>4500</x:v>
      </x:c>
      <x:c r="D14" s="40" t="n">
        <x:v>46208</x:v>
      </x:c>
      <x:c r="E14" s="30" t="str">
        <x:v>Ödendi</x:v>
      </x:c>
      <x:c r="F14" s="136" t="n">
        <x:v>4500</x:v>
      </x:c>
      <x:c r="G14" s="140" t="n">
        <x:f>IF(A14="","",MAX(0,C14-F14))</x:f>
        <x:v>0</x:v>
      </x:c>
      <x:c r="H14" s="30" t="str">
        <x:v>Zamanında yatırıldı</x:v>
      </x:c>
      <x:c r="I14" s="30" t="str">
        <x:v>Mevcut Kayıt</x:v>
      </x:c>
      <x:c r="J14" s="36" t="str">
        <x:f>IF(A14="","",IF(COUNTIF('02_Öğrenciler'!$A$5:$A$203,A14)=0,"Öğrenci Kodu Hatalı",IF(OR(C14="",E14=""),"Eksik Alan",IF(F14&lt;0,"Ödenen Tutar Hatası",IF(ABS((C14-F14)-G14)&gt;0.01,"Bakiye Hatası","Uygun")))))</x:f>
        <x:v>Uygun</x:v>
      </x:c>
    </x:row>
    <x:row r="15">
      <x:c r="A15" s="40" t="n">
        <x:v>2</x:v>
      </x:c>
      <x:c r="B15" s="126" t="str">
        <x:f>IF(A15="","",IFERROR(INDEX('02_Öğrenciler'!$B$5:$B$203,MATCH(A15,'02_Öğrenciler'!$A$5:$A$203,0)),"KOD HATALI"))</x:f>
        <x:v>Zeynep Kaya</x:v>
      </x:c>
      <x:c r="C15" s="136" t="n">
        <x:v>5000</x:v>
      </x:c>
      <x:c r="D15" s="40" t="n">
        <x:v>46208</x:v>
      </x:c>
      <x:c r="E15" s="30" t="str">
        <x:v>Ödendi</x:v>
      </x:c>
      <x:c r="F15" s="136" t="n">
        <x:v>5000</x:v>
      </x:c>
      <x:c r="G15" s="140" t="n">
        <x:f>IF(A15="","",MAX(0,C15-F15))</x:f>
        <x:v>0</x:v>
      </x:c>
      <x:c r="H15" s="30" t="str">
        <x:v>Havale yapıldı</x:v>
      </x:c>
      <x:c r="I15" s="30" t="str">
        <x:v>Mevcut Kayıt</x:v>
      </x:c>
      <x:c r="J15" s="36" t="str">
        <x:f>IF(A15="","",IF(COUNTIF('02_Öğrenciler'!$A$5:$A$203,A15)=0,"Öğrenci Kodu Hatalı",IF(OR(C15="",E15=""),"Eksik Alan",IF(F15&lt;0,"Ödenen Tutar Hatası",IF(ABS((C15-F15)-G15)&gt;0.01,"Bakiye Hatası","Uygun")))))</x:f>
        <x:v>Uygun</x:v>
      </x:c>
    </x:row>
    <x:row r="16">
      <x:c r="A16" s="40" t="n">
        <x:v>3</x:v>
      </x:c>
      <x:c r="B16" s="126" t="str">
        <x:f>IF(A16="","",IFERROR(INDEX('02_Öğrenciler'!$B$5:$B$203,MATCH(A16,'02_Öğrenciler'!$A$5:$A$203,0)),"KOD HATALI"))</x:f>
        <x:v>Mehmet Demir</x:v>
      </x:c>
      <x:c r="C16" s="136" t="n">
        <x:v>4000</x:v>
      </x:c>
      <x:c r="D16" s="40" t="n">
        <x:v>46213</x:v>
      </x:c>
      <x:c r="E16" s="30" t="str">
        <x:v>Gecikmede</x:v>
      </x:c>
      <x:c r="F16" s="136" t="n">
        <x:v>0</x:v>
      </x:c>
      <x:c r="G16" s="140" t="n">
        <x:f>IF(A16="","",MAX(0,C16-F16))</x:f>
        <x:v>4000</x:v>
      </x:c>
      <x:c r="H16" s="30" t="str">
        <x:v>Veliye hatırlatma mesajı atılacak</x:v>
      </x:c>
      <x:c r="I16" s="30" t="str">
        <x:v>Mevcut Kayıt</x:v>
      </x:c>
      <x:c r="J16" s="36" t="str">
        <x:f>IF(A16="","",IF(COUNTIF('02_Öğrenciler'!$A$5:$A$203,A16)=0,"Öğrenci Kodu Hatalı",IF(OR(C16="",E16=""),"Eksik Alan",IF(F16&lt;0,"Ödenen Tutar Hatası",IF(ABS((C16-F16)-G16)&gt;0.01,"Bakiye Hatası","Uygun")))))</x:f>
        <x:v>Uygun</x:v>
      </x:c>
    </x:row>
    <x:row r="17">
      <x:c r="A17" s="40" t="n">
        <x:v>4</x:v>
      </x:c>
      <x:c r="B17" s="126" t="str">
        <x:f>IF(A17="","",IFERROR(INDEX('02_Öğrenciler'!$B$5:$B$203,MATCH(A17,'02_Öğrenciler'!$A$5:$A$203,0)),"KOD HATALI"))</x:f>
        <x:v>Elif Şahin</x:v>
      </x:c>
      <x:c r="C17" s="136" t="n">
        <x:v>4800</x:v>
      </x:c>
      <x:c r="D17" s="40" t="n">
        <x:v>46218</x:v>
      </x:c>
      <x:c r="E17" s="30" t="str">
        <x:v>Kısmi Ödendi</x:v>
      </x:c>
      <x:c r="F17" s="136" t="n">
        <x:v>2400</x:v>
      </x:c>
      <x:c r="G17" s="140" t="n">
        <x:f>IF(A17="","",MAX(0,C17-F17))</x:f>
        <x:v>2400</x:v>
      </x:c>
      <x:c r="H17" s="30" t="str">
        <x:v>Kalanı ay sonu tamamlanacak</x:v>
      </x:c>
      <x:c r="I17" s="30" t="str">
        <x:v>Mevcut Kayıt</x:v>
      </x:c>
      <x:c r="J17" s="36" t="str">
        <x:f>IF(A17="","",IF(COUNTIF('02_Öğrenciler'!$A$5:$A$203,A17)=0,"Öğrenci Kodu Hatalı",IF(OR(C17="",E17=""),"Eksik Alan",IF(F17&lt;0,"Ödenen Tutar Hatası",IF(ABS((C17-F17)-G17)&gt;0.01,"Bakiye Hatası","Uygun")))))</x:f>
        <x:v>Uygun</x:v>
      </x:c>
    </x:row>
    <x:row r="18">
      <x:c r="A18" s="40" t="n">
        <x:v>5</x:v>
      </x:c>
      <x:c r="B18" s="126" t="str">
        <x:f>IF(A18="","",IFERROR(INDEX('02_Öğrenciler'!$B$5:$B$203,MATCH(A18,'02_Öğrenciler'!$A$5:$A$203,0)),"KOD HATALI"))</x:f>
        <x:v>Can Öztürk</x:v>
      </x:c>
      <x:c r="C18" s="136" t="n">
        <x:v>5000</x:v>
      </x:c>
      <x:c r="D18" s="40" t="n">
        <x:v>46208</x:v>
      </x:c>
      <x:c r="E18" s="30" t="str">
        <x:v>Ödendi</x:v>
      </x:c>
      <x:c r="F18" s="136" t="n">
        <x:v>5000</x:v>
      </x:c>
      <x:c r="G18" s="140" t="n">
        <x:f>IF(A18="","",MAX(0,C18-F18))</x:f>
        <x:v>0</x:v>
      </x:c>
      <x:c r="H18" s="30" t="str">
        <x:v>EFT yapıldı</x:v>
      </x:c>
      <x:c r="I18" s="30" t="str">
        <x:v>Mevcut Kayıt</x:v>
      </x:c>
      <x:c r="J18" s="36" t="str">
        <x:f>IF(A18="","",IF(COUNTIF('02_Öğrenciler'!$A$5:$A$203,A18)=0,"Öğrenci Kodu Hatalı",IF(OR(C18="",E18=""),"Eksik Alan",IF(F18&lt;0,"Ödenen Tutar Hatası",IF(ABS((C18-F18)-G18)&gt;0.01,"Bakiye Hatası","Uygun")))))</x:f>
        <x:v>Uygun</x:v>
      </x:c>
    </x:row>
    <x:row r="19">
      <x:c r="A19" s="40"/>
      <x:c r="B19" s="126" t="str">
        <x:f>IF(A19="","",IFERROR(INDEX('02_Öğrenciler'!$B$5:$B$203,MATCH(A19,'02_Öğrenciler'!$A$5:$A$203,0)),"KOD HATALI"))</x:f>
      </x:c>
      <x:c r="C19" s="136"/>
      <x:c r="D19" s="40"/>
      <x:c r="E19" s="30"/>
      <x:c r="F19" s="136"/>
      <x:c r="G19" s="140" t="str">
        <x:f>IF(A19="","",MAX(0,C19-F19))</x:f>
      </x:c>
      <x:c r="H19" s="30"/>
      <x:c r="I19" s="30" t="str">
        <x:f>IF(A19="","","Excel Girişi")</x:f>
      </x:c>
      <x:c r="J19" s="36" t="str">
        <x:f>IF(A19="","",IF(COUNTIF('02_Öğrenciler'!$A$5:$A$203,A19)=0,"Öğrenci Kodu Hatalı",IF(OR(C19="",E19=""),"Eksik Alan",IF(F19&lt;0,"Ödenen Tutar Hatası",IF(ABS((C19-F19)-G19)&gt;0.01,"Bakiye Hatası","Uygun")))))</x:f>
      </x:c>
    </x:row>
    <x:row r="20">
      <x:c r="A20" s="41"/>
      <x:c r="B20" s="45"/>
      <x:c r="C20" s="137"/>
      <x:c r="D20" s="41"/>
      <x:c r="F20" s="137"/>
      <x:c r="G20" s="137"/>
    </x:row>
    <x:row r="21">
      <x:c r="A21" s="41"/>
      <x:c r="B21" s="45"/>
      <x:c r="C21" s="137"/>
      <x:c r="D21" s="41"/>
      <x:c r="F21" s="137"/>
      <x:c r="G21" s="137"/>
    </x:row>
    <x:row r="22">
      <x:c r="A22" s="41"/>
      <x:c r="B22" s="45"/>
      <x:c r="C22" s="137"/>
      <x:c r="D22" s="41"/>
      <x:c r="F22" s="137"/>
      <x:c r="G22" s="137"/>
    </x:row>
    <x:row r="23">
      <x:c r="A23" s="41"/>
      <x:c r="B23" s="45"/>
      <x:c r="C23" s="137"/>
      <x:c r="D23" s="41"/>
      <x:c r="F23" s="137"/>
      <x:c r="G23" s="137"/>
    </x:row>
    <x:row r="24">
      <x:c r="A24" s="41"/>
      <x:c r="B24" s="45"/>
      <x:c r="C24" s="137"/>
      <x:c r="D24" s="41"/>
      <x:c r="F24" s="137"/>
      <x:c r="G24" s="137"/>
    </x:row>
    <x:row r="25">
      <x:c r="A25" s="41"/>
      <x:c r="B25" s="45"/>
      <x:c r="C25" s="137"/>
      <x:c r="D25" s="41"/>
      <x:c r="F25" s="137"/>
      <x:c r="G25" s="137"/>
    </x:row>
    <x:row r="26">
      <x:c r="A26" s="41"/>
      <x:c r="B26" s="45"/>
      <x:c r="C26" s="137"/>
      <x:c r="D26" s="41"/>
      <x:c r="F26" s="137"/>
      <x:c r="G26" s="137"/>
    </x:row>
    <x:row r="27">
      <x:c r="A27" s="41"/>
      <x:c r="B27" s="45"/>
      <x:c r="C27" s="137"/>
      <x:c r="D27" s="41"/>
      <x:c r="F27" s="137"/>
      <x:c r="G27" s="137"/>
    </x:row>
    <x:row r="28">
      <x:c r="A28" s="41"/>
      <x:c r="B28" s="45"/>
      <x:c r="C28" s="137"/>
      <x:c r="D28" s="41"/>
      <x:c r="F28" s="137"/>
      <x:c r="G28" s="137"/>
    </x:row>
    <x:row r="29">
      <x:c r="A29" s="41"/>
      <x:c r="B29" s="45"/>
      <x:c r="C29" s="137"/>
      <x:c r="D29" s="41"/>
      <x:c r="F29" s="137"/>
      <x:c r="G29" s="137"/>
    </x:row>
    <x:row r="30">
      <x:c r="A30" s="41"/>
      <x:c r="B30" s="45"/>
      <x:c r="C30" s="137"/>
      <x:c r="D30" s="41"/>
      <x:c r="F30" s="137"/>
      <x:c r="G30" s="137"/>
    </x:row>
    <x:row r="31">
      <x:c r="A31" s="41"/>
      <x:c r="B31" s="45"/>
      <x:c r="C31" s="137"/>
      <x:c r="D31" s="41"/>
      <x:c r="F31" s="137"/>
      <x:c r="G31" s="137"/>
    </x:row>
    <x:row r="32">
      <x:c r="A32" s="41"/>
      <x:c r="B32" s="45"/>
      <x:c r="C32" s="137"/>
      <x:c r="D32" s="41"/>
      <x:c r="F32" s="137"/>
      <x:c r="G32" s="137"/>
    </x:row>
    <x:row r="33">
      <x:c r="A33" s="41"/>
      <x:c r="B33" s="45"/>
      <x:c r="C33" s="137"/>
      <x:c r="D33" s="41"/>
      <x:c r="F33" s="137"/>
      <x:c r="G33" s="137"/>
    </x:row>
    <x:row r="34">
      <x:c r="A34" s="41"/>
      <x:c r="B34" s="45"/>
      <x:c r="C34" s="137"/>
      <x:c r="D34" s="41"/>
      <x:c r="F34" s="137"/>
      <x:c r="G34" s="137"/>
    </x:row>
    <x:row r="35">
      <x:c r="A35" s="41"/>
      <x:c r="B35" s="45"/>
      <x:c r="C35" s="137"/>
      <x:c r="D35" s="41"/>
      <x:c r="F35" s="137"/>
      <x:c r="G35" s="137"/>
    </x:row>
    <x:row r="36">
      <x:c r="A36" s="41"/>
      <x:c r="B36" s="45"/>
      <x:c r="C36" s="137"/>
      <x:c r="D36" s="41"/>
      <x:c r="F36" s="137"/>
      <x:c r="G36" s="137"/>
    </x:row>
    <x:row r="37">
      <x:c r="A37" s="41"/>
      <x:c r="B37" s="45"/>
      <x:c r="C37" s="137"/>
      <x:c r="D37" s="41"/>
      <x:c r="F37" s="137"/>
      <x:c r="G37" s="137"/>
    </x:row>
    <x:row r="38">
      <x:c r="A38" s="41"/>
      <x:c r="B38" s="45"/>
      <x:c r="C38" s="137"/>
      <x:c r="D38" s="41"/>
      <x:c r="F38" s="137"/>
      <x:c r="G38" s="137"/>
    </x:row>
    <x:row r="39">
      <x:c r="A39" s="41"/>
      <x:c r="B39" s="45"/>
      <x:c r="C39" s="137"/>
      <x:c r="D39" s="41"/>
      <x:c r="F39" s="137"/>
      <x:c r="G39" s="137"/>
    </x:row>
    <x:row r="40">
      <x:c r="A40" s="41"/>
      <x:c r="B40" s="45"/>
      <x:c r="C40" s="137"/>
      <x:c r="D40" s="41"/>
      <x:c r="F40" s="137"/>
      <x:c r="G40" s="137"/>
    </x:row>
    <x:row r="41">
      <x:c r="A41" s="41"/>
      <x:c r="B41" s="45"/>
      <x:c r="C41" s="137"/>
      <x:c r="D41" s="41"/>
      <x:c r="F41" s="137"/>
      <x:c r="G41" s="137"/>
    </x:row>
    <x:row r="42">
      <x:c r="A42" s="41"/>
      <x:c r="B42" s="45"/>
      <x:c r="C42" s="137"/>
      <x:c r="D42" s="41"/>
      <x:c r="F42" s="137"/>
      <x:c r="G42" s="137"/>
    </x:row>
    <x:row r="43">
      <x:c r="A43" s="41"/>
      <x:c r="B43" s="45"/>
      <x:c r="C43" s="137"/>
      <x:c r="D43" s="41"/>
      <x:c r="F43" s="137"/>
      <x:c r="G43" s="137"/>
    </x:row>
    <x:row r="44">
      <x:c r="A44" s="41"/>
      <x:c r="B44" s="45"/>
      <x:c r="C44" s="137"/>
      <x:c r="D44" s="41"/>
      <x:c r="F44" s="137"/>
      <x:c r="G44" s="137"/>
    </x:row>
    <x:row r="45">
      <x:c r="A45" s="41"/>
      <x:c r="B45" s="45"/>
      <x:c r="C45" s="137"/>
      <x:c r="D45" s="41"/>
      <x:c r="F45" s="137"/>
      <x:c r="G45" s="137"/>
    </x:row>
    <x:row r="46">
      <x:c r="A46" s="41"/>
      <x:c r="B46" s="45"/>
      <x:c r="C46" s="137"/>
      <x:c r="D46" s="41"/>
      <x:c r="F46" s="137"/>
      <x:c r="G46" s="137"/>
    </x:row>
    <x:row r="47">
      <x:c r="A47" s="41"/>
      <x:c r="B47" s="45"/>
      <x:c r="C47" s="137"/>
      <x:c r="D47" s="41"/>
      <x:c r="F47" s="137"/>
      <x:c r="G47" s="137"/>
    </x:row>
    <x:row r="48">
      <x:c r="A48" s="41"/>
      <x:c r="B48" s="45"/>
      <x:c r="C48" s="137"/>
      <x:c r="D48" s="41"/>
      <x:c r="F48" s="137"/>
      <x:c r="G48" s="137"/>
    </x:row>
    <x:row r="49">
      <x:c r="A49" s="41"/>
      <x:c r="B49" s="45"/>
      <x:c r="C49" s="137"/>
      <x:c r="D49" s="41"/>
      <x:c r="F49" s="137"/>
      <x:c r="G49" s="137"/>
    </x:row>
    <x:row r="50">
      <x:c r="A50" s="41"/>
      <x:c r="B50" s="45"/>
      <x:c r="C50" s="137"/>
      <x:c r="D50" s="41"/>
      <x:c r="F50" s="137"/>
      <x:c r="G50" s="137"/>
    </x:row>
    <x:row r="51">
      <x:c r="A51" s="41"/>
      <x:c r="B51" s="45"/>
      <x:c r="C51" s="137"/>
      <x:c r="D51" s="41"/>
      <x:c r="F51" s="137"/>
      <x:c r="G51" s="137"/>
    </x:row>
    <x:row r="52">
      <x:c r="A52" s="41"/>
      <x:c r="B52" s="45"/>
      <x:c r="C52" s="137"/>
      <x:c r="D52" s="41"/>
      <x:c r="F52" s="137"/>
      <x:c r="G52" s="137"/>
    </x:row>
    <x:row r="53">
      <x:c r="A53" s="41"/>
      <x:c r="B53" s="45"/>
      <x:c r="C53" s="137"/>
      <x:c r="D53" s="41"/>
      <x:c r="F53" s="137"/>
      <x:c r="G53" s="137"/>
    </x:row>
    <x:row r="54">
      <x:c r="A54" s="41"/>
      <x:c r="B54" s="45"/>
      <x:c r="C54" s="137"/>
      <x:c r="D54" s="41"/>
      <x:c r="F54" s="137"/>
      <x:c r="G54" s="137"/>
    </x:row>
    <x:row r="55">
      <x:c r="A55" s="41"/>
      <x:c r="B55" s="45"/>
      <x:c r="C55" s="137"/>
      <x:c r="D55" s="41"/>
      <x:c r="F55" s="137"/>
      <x:c r="G55" s="137"/>
    </x:row>
    <x:row r="56">
      <x:c r="A56" s="41"/>
      <x:c r="B56" s="45"/>
      <x:c r="C56" s="137"/>
      <x:c r="D56" s="41"/>
      <x:c r="F56" s="137"/>
      <x:c r="G56" s="137"/>
    </x:row>
    <x:row r="57">
      <x:c r="A57" s="41"/>
      <x:c r="B57" s="45"/>
      <x:c r="C57" s="137"/>
      <x:c r="D57" s="41"/>
      <x:c r="F57" s="137"/>
      <x:c r="G57" s="137"/>
    </x:row>
    <x:row r="58">
      <x:c r="A58" s="41"/>
      <x:c r="B58" s="45"/>
      <x:c r="C58" s="137"/>
      <x:c r="D58" s="41"/>
      <x:c r="F58" s="137"/>
      <x:c r="G58" s="137"/>
    </x:row>
    <x:row r="59">
      <x:c r="A59" s="41"/>
      <x:c r="B59" s="45"/>
      <x:c r="C59" s="137"/>
      <x:c r="D59" s="41"/>
      <x:c r="F59" s="137"/>
      <x:c r="G59" s="137"/>
    </x:row>
    <x:row r="60">
      <x:c r="A60" s="41"/>
      <x:c r="B60" s="45"/>
      <x:c r="C60" s="137"/>
      <x:c r="D60" s="41"/>
      <x:c r="F60" s="137"/>
      <x:c r="G60" s="137"/>
    </x:row>
    <x:row r="61">
      <x:c r="A61" s="41"/>
      <x:c r="B61" s="45"/>
      <x:c r="C61" s="137"/>
      <x:c r="D61" s="41"/>
      <x:c r="F61" s="137"/>
      <x:c r="G61" s="137"/>
    </x:row>
    <x:row r="62">
      <x:c r="A62" s="41"/>
      <x:c r="B62" s="45"/>
      <x:c r="C62" s="137"/>
      <x:c r="D62" s="41"/>
      <x:c r="F62" s="137"/>
      <x:c r="G62" s="137"/>
    </x:row>
    <x:row r="63">
      <x:c r="A63" s="41"/>
      <x:c r="B63" s="45"/>
      <x:c r="C63" s="137"/>
      <x:c r="D63" s="41"/>
      <x:c r="F63" s="137"/>
      <x:c r="G63" s="137"/>
    </x:row>
    <x:row r="64">
      <x:c r="A64" s="41"/>
      <x:c r="B64" s="45"/>
      <x:c r="C64" s="137"/>
      <x:c r="D64" s="41"/>
      <x:c r="F64" s="137"/>
      <x:c r="G64" s="137"/>
    </x:row>
    <x:row r="65">
      <x:c r="A65" s="41"/>
      <x:c r="B65" s="45"/>
      <x:c r="C65" s="137"/>
      <x:c r="D65" s="41"/>
      <x:c r="F65" s="137"/>
      <x:c r="G65" s="137"/>
    </x:row>
    <x:row r="66">
      <x:c r="A66" s="41"/>
      <x:c r="B66" s="45"/>
      <x:c r="C66" s="137"/>
      <x:c r="D66" s="41"/>
      <x:c r="F66" s="137"/>
      <x:c r="G66" s="137"/>
    </x:row>
    <x:row r="67">
      <x:c r="A67" s="41"/>
      <x:c r="B67" s="45"/>
      <x:c r="C67" s="137"/>
      <x:c r="D67" s="41"/>
      <x:c r="F67" s="137"/>
      <x:c r="G67" s="137"/>
    </x:row>
    <x:row r="68">
      <x:c r="A68" s="41"/>
      <x:c r="B68" s="45"/>
      <x:c r="C68" s="137"/>
      <x:c r="D68" s="41"/>
      <x:c r="F68" s="137"/>
      <x:c r="G68" s="137"/>
    </x:row>
    <x:row r="69">
      <x:c r="A69" s="41"/>
      <x:c r="B69" s="45"/>
      <x:c r="C69" s="137"/>
      <x:c r="D69" s="41"/>
      <x:c r="F69" s="137"/>
      <x:c r="G69" s="137"/>
    </x:row>
    <x:row r="70">
      <x:c r="A70" s="41"/>
      <x:c r="B70" s="45"/>
      <x:c r="C70" s="137"/>
      <x:c r="D70" s="41"/>
      <x:c r="F70" s="137"/>
      <x:c r="G70" s="137"/>
    </x:row>
    <x:row r="71">
      <x:c r="A71" s="41"/>
      <x:c r="B71" s="45"/>
      <x:c r="C71" s="137"/>
      <x:c r="D71" s="41"/>
      <x:c r="F71" s="137"/>
      <x:c r="G71" s="137"/>
    </x:row>
    <x:row r="72">
      <x:c r="A72" s="41"/>
      <x:c r="B72" s="45"/>
      <x:c r="C72" s="137"/>
      <x:c r="D72" s="41"/>
      <x:c r="F72" s="137"/>
      <x:c r="G72" s="137"/>
    </x:row>
    <x:row r="73">
      <x:c r="A73" s="41"/>
      <x:c r="B73" s="45"/>
      <x:c r="C73" s="137"/>
      <x:c r="D73" s="41"/>
      <x:c r="F73" s="137"/>
      <x:c r="G73" s="137"/>
    </x:row>
    <x:row r="74">
      <x:c r="A74" s="41"/>
      <x:c r="B74" s="45"/>
      <x:c r="C74" s="137"/>
      <x:c r="D74" s="41"/>
      <x:c r="F74" s="137"/>
      <x:c r="G74" s="137"/>
    </x:row>
    <x:row r="75">
      <x:c r="A75" s="41"/>
      <x:c r="B75" s="45"/>
      <x:c r="C75" s="137"/>
      <x:c r="D75" s="41"/>
      <x:c r="F75" s="137"/>
      <x:c r="G75" s="137"/>
    </x:row>
    <x:row r="76">
      <x:c r="A76" s="41"/>
      <x:c r="B76" s="45"/>
      <x:c r="C76" s="137"/>
      <x:c r="D76" s="41"/>
      <x:c r="F76" s="137"/>
      <x:c r="G76" s="137"/>
    </x:row>
    <x:row r="77">
      <x:c r="A77" s="41"/>
      <x:c r="B77" s="45"/>
      <x:c r="C77" s="137"/>
      <x:c r="D77" s="41"/>
      <x:c r="F77" s="137"/>
      <x:c r="G77" s="137"/>
    </x:row>
    <x:row r="78">
      <x:c r="A78" s="41"/>
      <x:c r="B78" s="45"/>
      <x:c r="C78" s="137"/>
      <x:c r="D78" s="41"/>
      <x:c r="F78" s="137"/>
      <x:c r="G78" s="137"/>
    </x:row>
    <x:row r="79">
      <x:c r="A79" s="41"/>
      <x:c r="B79" s="45"/>
      <x:c r="C79" s="137"/>
      <x:c r="D79" s="41"/>
      <x:c r="F79" s="137"/>
      <x:c r="G79" s="137"/>
    </x:row>
    <x:row r="80">
      <x:c r="A80" s="41"/>
      <x:c r="B80" s="45"/>
      <x:c r="C80" s="137"/>
      <x:c r="D80" s="41"/>
      <x:c r="F80" s="137"/>
      <x:c r="G80" s="137"/>
    </x:row>
    <x:row r="81">
      <x:c r="A81" s="41"/>
      <x:c r="B81" s="45"/>
      <x:c r="C81" s="137"/>
      <x:c r="D81" s="41"/>
      <x:c r="F81" s="137"/>
      <x:c r="G81" s="137"/>
    </x:row>
    <x:row r="82">
      <x:c r="A82" s="41"/>
      <x:c r="B82" s="45"/>
      <x:c r="C82" s="137"/>
      <x:c r="D82" s="41"/>
      <x:c r="F82" s="137"/>
      <x:c r="G82" s="137"/>
    </x:row>
    <x:row r="83">
      <x:c r="A83" s="41"/>
      <x:c r="B83" s="45"/>
      <x:c r="C83" s="137"/>
      <x:c r="D83" s="41"/>
      <x:c r="F83" s="137"/>
      <x:c r="G83" s="137"/>
    </x:row>
    <x:row r="84">
      <x:c r="A84" s="41"/>
      <x:c r="B84" s="45"/>
      <x:c r="C84" s="137"/>
      <x:c r="D84" s="41"/>
      <x:c r="F84" s="137"/>
      <x:c r="G84" s="137"/>
    </x:row>
    <x:row r="85">
      <x:c r="A85" s="41"/>
      <x:c r="B85" s="45"/>
      <x:c r="C85" s="137"/>
      <x:c r="D85" s="41"/>
      <x:c r="F85" s="137"/>
      <x:c r="G85" s="137"/>
    </x:row>
    <x:row r="86">
      <x:c r="A86" s="41"/>
      <x:c r="B86" s="45"/>
      <x:c r="C86" s="137"/>
      <x:c r="D86" s="41"/>
      <x:c r="F86" s="137"/>
      <x:c r="G86" s="137"/>
    </x:row>
    <x:row r="87">
      <x:c r="A87" s="41"/>
      <x:c r="B87" s="45"/>
      <x:c r="C87" s="137"/>
      <x:c r="D87" s="41"/>
      <x:c r="F87" s="137"/>
      <x:c r="G87" s="137"/>
    </x:row>
    <x:row r="88">
      <x:c r="A88" s="41"/>
      <x:c r="B88" s="45"/>
      <x:c r="C88" s="137"/>
      <x:c r="D88" s="41"/>
      <x:c r="F88" s="137"/>
      <x:c r="G88" s="137"/>
    </x:row>
    <x:row r="89">
      <x:c r="A89" s="41"/>
      <x:c r="B89" s="45"/>
      <x:c r="C89" s="137"/>
      <x:c r="D89" s="41"/>
      <x:c r="F89" s="137"/>
      <x:c r="G89" s="137"/>
    </x:row>
    <x:row r="90">
      <x:c r="A90" s="41"/>
      <x:c r="B90" s="45"/>
      <x:c r="C90" s="137"/>
      <x:c r="D90" s="41"/>
      <x:c r="F90" s="137"/>
      <x:c r="G90" s="137"/>
    </x:row>
    <x:row r="91">
      <x:c r="A91" s="41"/>
      <x:c r="B91" s="45"/>
      <x:c r="C91" s="137"/>
      <x:c r="D91" s="41"/>
      <x:c r="F91" s="137"/>
      <x:c r="G91" s="137"/>
    </x:row>
    <x:row r="92">
      <x:c r="A92" s="41"/>
      <x:c r="B92" s="45"/>
      <x:c r="C92" s="137"/>
      <x:c r="D92" s="41"/>
      <x:c r="F92" s="137"/>
      <x:c r="G92" s="137"/>
    </x:row>
    <x:row r="93">
      <x:c r="A93" s="41"/>
      <x:c r="B93" s="45"/>
      <x:c r="C93" s="137"/>
      <x:c r="D93" s="41"/>
      <x:c r="F93" s="137"/>
      <x:c r="G93" s="137"/>
    </x:row>
    <x:row r="94">
      <x:c r="A94" s="41"/>
      <x:c r="B94" s="45"/>
      <x:c r="C94" s="137"/>
      <x:c r="D94" s="41"/>
      <x:c r="F94" s="137"/>
      <x:c r="G94" s="137"/>
    </x:row>
    <x:row r="95">
      <x:c r="A95" s="41"/>
      <x:c r="B95" s="45"/>
      <x:c r="C95" s="137"/>
      <x:c r="D95" s="41"/>
      <x:c r="F95" s="137"/>
      <x:c r="G95" s="137"/>
    </x:row>
    <x:row r="96">
      <x:c r="A96" s="41"/>
      <x:c r="B96" s="45"/>
      <x:c r="C96" s="137"/>
      <x:c r="D96" s="41"/>
      <x:c r="F96" s="137"/>
      <x:c r="G96" s="137"/>
    </x:row>
    <x:row r="97">
      <x:c r="A97" s="41"/>
      <x:c r="B97" s="45"/>
      <x:c r="C97" s="137"/>
      <x:c r="D97" s="41"/>
      <x:c r="F97" s="137"/>
      <x:c r="G97" s="137"/>
    </x:row>
    <x:row r="98">
      <x:c r="A98" s="41"/>
      <x:c r="B98" s="45"/>
      <x:c r="C98" s="137"/>
      <x:c r="D98" s="41"/>
      <x:c r="F98" s="137"/>
      <x:c r="G98" s="137"/>
    </x:row>
    <x:row r="99">
      <x:c r="A99" s="41"/>
      <x:c r="B99" s="45"/>
      <x:c r="C99" s="137"/>
      <x:c r="D99" s="41"/>
      <x:c r="F99" s="137"/>
      <x:c r="G99" s="137"/>
    </x:row>
    <x:row r="100">
      <x:c r="A100" s="41"/>
      <x:c r="B100" s="45"/>
      <x:c r="C100" s="137"/>
      <x:c r="D100" s="41"/>
      <x:c r="F100" s="137"/>
      <x:c r="G100" s="137"/>
    </x:row>
    <x:row r="101">
      <x:c r="A101" s="41"/>
      <x:c r="B101" s="45"/>
      <x:c r="C101" s="137"/>
      <x:c r="D101" s="41"/>
      <x:c r="F101" s="137"/>
      <x:c r="G101" s="137"/>
    </x:row>
    <x:row r="102">
      <x:c r="A102" s="41"/>
      <x:c r="B102" s="45"/>
      <x:c r="C102" s="137"/>
      <x:c r="D102" s="41"/>
      <x:c r="F102" s="137"/>
      <x:c r="G102" s="137"/>
    </x:row>
    <x:row r="103">
      <x:c r="A103" s="41"/>
      <x:c r="B103" s="45"/>
      <x:c r="C103" s="137"/>
      <x:c r="D103" s="41"/>
      <x:c r="F103" s="137"/>
      <x:c r="G103" s="137"/>
    </x:row>
    <x:row r="104">
      <x:c r="A104" s="41"/>
      <x:c r="B104" s="45"/>
      <x:c r="C104" s="137"/>
      <x:c r="D104" s="41"/>
      <x:c r="F104" s="137"/>
      <x:c r="G104" s="137"/>
    </x:row>
    <x:row r="105">
      <x:c r="A105" s="41"/>
      <x:c r="B105" s="45"/>
      <x:c r="C105" s="137"/>
      <x:c r="D105" s="41"/>
      <x:c r="F105" s="137"/>
      <x:c r="G105" s="137"/>
    </x:row>
    <x:row r="106">
      <x:c r="A106" s="41"/>
      <x:c r="B106" s="45"/>
      <x:c r="C106" s="137"/>
      <x:c r="D106" s="41"/>
      <x:c r="F106" s="137"/>
      <x:c r="G106" s="137"/>
    </x:row>
    <x:row r="107">
      <x:c r="A107" s="41"/>
      <x:c r="B107" s="45"/>
      <x:c r="C107" s="137"/>
      <x:c r="D107" s="41"/>
      <x:c r="F107" s="137"/>
      <x:c r="G107" s="137"/>
    </x:row>
    <x:row r="108">
      <x:c r="A108" s="41"/>
      <x:c r="B108" s="45"/>
      <x:c r="C108" s="137"/>
      <x:c r="D108" s="41"/>
      <x:c r="F108" s="137"/>
      <x:c r="G108" s="137"/>
    </x:row>
    <x:row r="109">
      <x:c r="A109" s="41"/>
      <x:c r="B109" s="45"/>
      <x:c r="C109" s="137"/>
      <x:c r="D109" s="41"/>
      <x:c r="F109" s="137"/>
      <x:c r="G109" s="137"/>
    </x:row>
    <x:row r="110">
      <x:c r="A110" s="41"/>
      <x:c r="B110" s="45"/>
      <x:c r="C110" s="137"/>
      <x:c r="D110" s="41"/>
      <x:c r="F110" s="137"/>
      <x:c r="G110" s="137"/>
    </x:row>
    <x:row r="111">
      <x:c r="A111" s="41"/>
      <x:c r="B111" s="45"/>
      <x:c r="C111" s="137"/>
      <x:c r="D111" s="41"/>
      <x:c r="F111" s="137"/>
      <x:c r="G111" s="137"/>
    </x:row>
    <x:row r="112">
      <x:c r="A112" s="41"/>
      <x:c r="B112" s="45"/>
      <x:c r="C112" s="137"/>
      <x:c r="D112" s="41"/>
      <x:c r="F112" s="137"/>
      <x:c r="G112" s="137"/>
    </x:row>
    <x:row r="113">
      <x:c r="A113" s="41"/>
      <x:c r="B113" s="45"/>
      <x:c r="C113" s="137"/>
      <x:c r="D113" s="41"/>
      <x:c r="F113" s="137"/>
      <x:c r="G113" s="137"/>
    </x:row>
    <x:row r="114">
      <x:c r="A114" s="41"/>
      <x:c r="B114" s="45"/>
      <x:c r="C114" s="137"/>
      <x:c r="D114" s="41"/>
      <x:c r="F114" s="137"/>
      <x:c r="G114" s="137"/>
    </x:row>
    <x:row r="115">
      <x:c r="A115" s="41"/>
      <x:c r="B115" s="45"/>
      <x:c r="C115" s="137"/>
      <x:c r="D115" s="41"/>
      <x:c r="F115" s="137"/>
      <x:c r="G115" s="137"/>
    </x:row>
    <x:row r="116">
      <x:c r="A116" s="41"/>
      <x:c r="B116" s="45"/>
      <x:c r="C116" s="137"/>
      <x:c r="D116" s="41"/>
      <x:c r="F116" s="137"/>
      <x:c r="G116" s="137"/>
    </x:row>
    <x:row r="117">
      <x:c r="A117" s="41"/>
      <x:c r="B117" s="45"/>
      <x:c r="C117" s="137"/>
      <x:c r="D117" s="41"/>
      <x:c r="F117" s="137"/>
      <x:c r="G117" s="137"/>
    </x:row>
    <x:row r="118">
      <x:c r="A118" s="41"/>
      <x:c r="B118" s="45"/>
      <x:c r="C118" s="137"/>
      <x:c r="D118" s="41"/>
      <x:c r="F118" s="137"/>
      <x:c r="G118" s="137"/>
    </x:row>
    <x:row r="119">
      <x:c r="A119" s="41"/>
      <x:c r="B119" s="45"/>
      <x:c r="C119" s="137"/>
      <x:c r="D119" s="41"/>
      <x:c r="F119" s="137"/>
      <x:c r="G119" s="137"/>
    </x:row>
    <x:row r="120">
      <x:c r="A120" s="41"/>
      <x:c r="B120" s="45"/>
      <x:c r="C120" s="137"/>
      <x:c r="D120" s="41"/>
      <x:c r="F120" s="137"/>
      <x:c r="G120" s="137"/>
    </x:row>
    <x:row r="121">
      <x:c r="A121" s="41"/>
      <x:c r="B121" s="45"/>
      <x:c r="C121" s="137"/>
      <x:c r="D121" s="41"/>
      <x:c r="F121" s="137"/>
      <x:c r="G121" s="137"/>
    </x:row>
    <x:row r="122">
      <x:c r="A122" s="41"/>
      <x:c r="B122" s="45"/>
      <x:c r="C122" s="137"/>
      <x:c r="D122" s="41"/>
      <x:c r="F122" s="137"/>
      <x:c r="G122" s="137"/>
    </x:row>
    <x:row r="123">
      <x:c r="A123" s="41"/>
      <x:c r="B123" s="45"/>
      <x:c r="C123" s="137"/>
      <x:c r="D123" s="41"/>
      <x:c r="F123" s="137"/>
      <x:c r="G123" s="137"/>
    </x:row>
    <x:row r="124">
      <x:c r="A124" s="41"/>
      <x:c r="B124" s="45"/>
      <x:c r="C124" s="137"/>
      <x:c r="D124" s="41"/>
      <x:c r="F124" s="137"/>
      <x:c r="G124" s="137"/>
    </x:row>
    <x:row r="125">
      <x:c r="A125" s="41"/>
      <x:c r="B125" s="45"/>
      <x:c r="C125" s="137"/>
      <x:c r="D125" s="41"/>
      <x:c r="F125" s="137"/>
      <x:c r="G125" s="137"/>
    </x:row>
    <x:row r="126">
      <x:c r="A126" s="41"/>
      <x:c r="B126" s="45"/>
      <x:c r="C126" s="137"/>
      <x:c r="D126" s="41"/>
      <x:c r="F126" s="137"/>
      <x:c r="G126" s="137"/>
    </x:row>
    <x:row r="127">
      <x:c r="A127" s="41"/>
      <x:c r="B127" s="45"/>
      <x:c r="C127" s="137"/>
      <x:c r="D127" s="41"/>
      <x:c r="F127" s="137"/>
      <x:c r="G127" s="137"/>
    </x:row>
    <x:row r="128">
      <x:c r="A128" s="41"/>
      <x:c r="B128" s="45"/>
      <x:c r="C128" s="137"/>
      <x:c r="D128" s="41"/>
      <x:c r="F128" s="137"/>
      <x:c r="G128" s="137"/>
    </x:row>
    <x:row r="129">
      <x:c r="A129" s="41"/>
      <x:c r="B129" s="45"/>
      <x:c r="C129" s="137"/>
      <x:c r="D129" s="41"/>
      <x:c r="F129" s="137"/>
      <x:c r="G129" s="137"/>
    </x:row>
    <x:row r="130">
      <x:c r="A130" s="41"/>
      <x:c r="B130" s="45"/>
      <x:c r="C130" s="137"/>
      <x:c r="D130" s="41"/>
      <x:c r="F130" s="137"/>
      <x:c r="G130" s="137"/>
    </x:row>
    <x:row r="131">
      <x:c r="A131" s="41"/>
      <x:c r="B131" s="45"/>
      <x:c r="C131" s="137"/>
      <x:c r="D131" s="41"/>
      <x:c r="F131" s="137"/>
      <x:c r="G131" s="137"/>
    </x:row>
    <x:row r="132">
      <x:c r="A132" s="41"/>
      <x:c r="B132" s="45"/>
      <x:c r="C132" s="137"/>
      <x:c r="D132" s="41"/>
      <x:c r="F132" s="137"/>
      <x:c r="G132" s="137"/>
    </x:row>
    <x:row r="133">
      <x:c r="A133" s="41"/>
      <x:c r="B133" s="45"/>
      <x:c r="C133" s="137"/>
      <x:c r="D133" s="41"/>
      <x:c r="F133" s="137"/>
      <x:c r="G133" s="137"/>
    </x:row>
    <x:row r="134">
      <x:c r="A134" s="41"/>
      <x:c r="B134" s="45"/>
      <x:c r="C134" s="137"/>
      <x:c r="D134" s="41"/>
      <x:c r="F134" s="137"/>
      <x:c r="G134" s="137"/>
    </x:row>
    <x:row r="135">
      <x:c r="A135" s="41"/>
      <x:c r="B135" s="45"/>
      <x:c r="C135" s="137"/>
      <x:c r="D135" s="41"/>
      <x:c r="F135" s="137"/>
      <x:c r="G135" s="137"/>
    </x:row>
    <x:row r="136">
      <x:c r="A136" s="41"/>
      <x:c r="B136" s="45"/>
      <x:c r="C136" s="137"/>
      <x:c r="D136" s="41"/>
      <x:c r="F136" s="137"/>
      <x:c r="G136" s="137"/>
    </x:row>
    <x:row r="137">
      <x:c r="A137" s="41"/>
      <x:c r="B137" s="45"/>
      <x:c r="C137" s="137"/>
      <x:c r="D137" s="41"/>
      <x:c r="F137" s="137"/>
      <x:c r="G137" s="137"/>
    </x:row>
    <x:row r="138">
      <x:c r="A138" s="41"/>
      <x:c r="B138" s="45"/>
      <x:c r="C138" s="137"/>
      <x:c r="D138" s="41"/>
      <x:c r="F138" s="137"/>
      <x:c r="G138" s="137"/>
    </x:row>
    <x:row r="139">
      <x:c r="A139" s="41"/>
      <x:c r="B139" s="45"/>
      <x:c r="C139" s="137"/>
      <x:c r="D139" s="41"/>
      <x:c r="F139" s="137"/>
      <x:c r="G139" s="137"/>
    </x:row>
    <x:row r="140">
      <x:c r="A140" s="41"/>
      <x:c r="B140" s="45"/>
      <x:c r="C140" s="137"/>
      <x:c r="D140" s="41"/>
      <x:c r="F140" s="137"/>
      <x:c r="G140" s="137"/>
    </x:row>
    <x:row r="141">
      <x:c r="A141" s="41"/>
      <x:c r="B141" s="45"/>
      <x:c r="C141" s="137"/>
      <x:c r="D141" s="41"/>
      <x:c r="F141" s="137"/>
      <x:c r="G141" s="137"/>
    </x:row>
    <x:row r="142">
      <x:c r="A142" s="41"/>
      <x:c r="B142" s="45"/>
      <x:c r="C142" s="137"/>
      <x:c r="D142" s="41"/>
      <x:c r="F142" s="137"/>
      <x:c r="G142" s="137"/>
    </x:row>
    <x:row r="143">
      <x:c r="A143" s="41"/>
      <x:c r="B143" s="45"/>
      <x:c r="C143" s="137"/>
      <x:c r="D143" s="41"/>
      <x:c r="F143" s="137"/>
      <x:c r="G143" s="137"/>
    </x:row>
    <x:row r="144">
      <x:c r="A144" s="41"/>
      <x:c r="B144" s="45"/>
      <x:c r="C144" s="137"/>
      <x:c r="D144" s="41"/>
      <x:c r="F144" s="137"/>
      <x:c r="G144" s="137"/>
    </x:row>
    <x:row r="145">
      <x:c r="A145" s="41"/>
      <x:c r="B145" s="45"/>
      <x:c r="C145" s="137"/>
      <x:c r="D145" s="41"/>
      <x:c r="F145" s="137"/>
      <x:c r="G145" s="137"/>
    </x:row>
    <x:row r="146">
      <x:c r="A146" s="41"/>
      <x:c r="B146" s="45"/>
      <x:c r="C146" s="137"/>
      <x:c r="D146" s="41"/>
      <x:c r="F146" s="137"/>
      <x:c r="G146" s="137"/>
    </x:row>
    <x:row r="147">
      <x:c r="A147" s="41"/>
      <x:c r="B147" s="45"/>
      <x:c r="C147" s="137"/>
      <x:c r="D147" s="41"/>
      <x:c r="F147" s="137"/>
      <x:c r="G147" s="137"/>
    </x:row>
    <x:row r="148">
      <x:c r="A148" s="41"/>
      <x:c r="B148" s="45"/>
      <x:c r="C148" s="137"/>
      <x:c r="D148" s="41"/>
      <x:c r="F148" s="137"/>
      <x:c r="G148" s="137"/>
    </x:row>
    <x:row r="149">
      <x:c r="A149" s="41"/>
      <x:c r="B149" s="45"/>
      <x:c r="C149" s="137"/>
      <x:c r="D149" s="41"/>
      <x:c r="F149" s="137"/>
      <x:c r="G149" s="137"/>
    </x:row>
    <x:row r="150">
      <x:c r="A150" s="41"/>
      <x:c r="B150" s="45"/>
      <x:c r="C150" s="137"/>
      <x:c r="D150" s="41"/>
      <x:c r="F150" s="137"/>
      <x:c r="G150" s="137"/>
    </x:row>
    <x:row r="151">
      <x:c r="A151" s="41"/>
      <x:c r="B151" s="45"/>
      <x:c r="C151" s="137"/>
      <x:c r="D151" s="41"/>
      <x:c r="F151" s="137"/>
      <x:c r="G151" s="137"/>
    </x:row>
    <x:row r="152">
      <x:c r="A152" s="41"/>
      <x:c r="B152" s="45"/>
      <x:c r="C152" s="137"/>
      <x:c r="D152" s="41"/>
      <x:c r="F152" s="137"/>
      <x:c r="G152" s="137"/>
    </x:row>
    <x:row r="153">
      <x:c r="A153" s="41"/>
      <x:c r="B153" s="45"/>
      <x:c r="C153" s="137"/>
      <x:c r="D153" s="41"/>
      <x:c r="F153" s="137"/>
      <x:c r="G153" s="137"/>
    </x:row>
    <x:row r="154">
      <x:c r="A154" s="41"/>
      <x:c r="B154" s="45"/>
      <x:c r="C154" s="137"/>
      <x:c r="D154" s="41"/>
      <x:c r="F154" s="137"/>
      <x:c r="G154" s="137"/>
    </x:row>
    <x:row r="155">
      <x:c r="A155" s="41"/>
      <x:c r="B155" s="45"/>
      <x:c r="C155" s="137"/>
      <x:c r="D155" s="41"/>
      <x:c r="F155" s="137"/>
      <x:c r="G155" s="137"/>
    </x:row>
    <x:row r="156">
      <x:c r="A156" s="41"/>
      <x:c r="B156" s="45"/>
      <x:c r="C156" s="137"/>
      <x:c r="D156" s="41"/>
      <x:c r="F156" s="137"/>
      <x:c r="G156" s="137"/>
    </x:row>
    <x:row r="157">
      <x:c r="A157" s="41"/>
      <x:c r="B157" s="45"/>
      <x:c r="C157" s="137"/>
      <x:c r="D157" s="41"/>
      <x:c r="F157" s="137"/>
      <x:c r="G157" s="137"/>
    </x:row>
    <x:row r="158">
      <x:c r="A158" s="41"/>
      <x:c r="B158" s="45"/>
      <x:c r="C158" s="137"/>
      <x:c r="D158" s="41"/>
      <x:c r="F158" s="137"/>
      <x:c r="G158" s="137"/>
    </x:row>
    <x:row r="159">
      <x:c r="A159" s="41"/>
      <x:c r="B159" s="45"/>
      <x:c r="C159" s="137"/>
      <x:c r="D159" s="41"/>
      <x:c r="F159" s="137"/>
      <x:c r="G159" s="137"/>
    </x:row>
    <x:row r="160">
      <x:c r="A160" s="41"/>
      <x:c r="B160" s="45"/>
      <x:c r="C160" s="137"/>
      <x:c r="D160" s="41"/>
      <x:c r="F160" s="137"/>
      <x:c r="G160" s="137"/>
    </x:row>
    <x:row r="161">
      <x:c r="A161" s="41"/>
      <x:c r="B161" s="45"/>
      <x:c r="C161" s="137"/>
      <x:c r="D161" s="41"/>
      <x:c r="F161" s="137"/>
      <x:c r="G161" s="137"/>
    </x:row>
    <x:row r="162">
      <x:c r="A162" s="41"/>
      <x:c r="B162" s="45"/>
      <x:c r="C162" s="137"/>
      <x:c r="D162" s="41"/>
      <x:c r="F162" s="137"/>
      <x:c r="G162" s="137"/>
    </x:row>
    <x:row r="163">
      <x:c r="A163" s="41"/>
      <x:c r="B163" s="45"/>
      <x:c r="C163" s="137"/>
      <x:c r="D163" s="41"/>
      <x:c r="F163" s="137"/>
      <x:c r="G163" s="137"/>
    </x:row>
    <x:row r="164">
      <x:c r="A164" s="41"/>
      <x:c r="B164" s="45"/>
      <x:c r="C164" s="137"/>
      <x:c r="D164" s="41"/>
      <x:c r="F164" s="137"/>
      <x:c r="G164" s="137"/>
    </x:row>
    <x:row r="165">
      <x:c r="A165" s="41"/>
      <x:c r="B165" s="45"/>
      <x:c r="C165" s="137"/>
      <x:c r="D165" s="41"/>
      <x:c r="F165" s="137"/>
      <x:c r="G165" s="137"/>
    </x:row>
    <x:row r="166">
      <x:c r="A166" s="41"/>
      <x:c r="B166" s="45"/>
      <x:c r="C166" s="137"/>
      <x:c r="D166" s="41"/>
      <x:c r="F166" s="137"/>
      <x:c r="G166" s="137"/>
    </x:row>
    <x:row r="167">
      <x:c r="A167" s="41"/>
      <x:c r="B167" s="45"/>
      <x:c r="C167" s="137"/>
      <x:c r="D167" s="41"/>
      <x:c r="F167" s="137"/>
      <x:c r="G167" s="137"/>
    </x:row>
    <x:row r="168">
      <x:c r="A168" s="41"/>
      <x:c r="B168" s="45"/>
      <x:c r="C168" s="137"/>
      <x:c r="D168" s="41"/>
      <x:c r="F168" s="137"/>
      <x:c r="G168" s="137"/>
    </x:row>
    <x:row r="169">
      <x:c r="A169" s="41"/>
      <x:c r="B169" s="45"/>
      <x:c r="C169" s="137"/>
      <x:c r="D169" s="41"/>
      <x:c r="F169" s="137"/>
      <x:c r="G169" s="137"/>
    </x:row>
    <x:row r="170">
      <x:c r="A170" s="41"/>
      <x:c r="B170" s="45"/>
      <x:c r="C170" s="137"/>
      <x:c r="D170" s="41"/>
      <x:c r="F170" s="137"/>
      <x:c r="G170" s="137"/>
    </x:row>
    <x:row r="171">
      <x:c r="A171" s="41"/>
      <x:c r="B171" s="45"/>
      <x:c r="C171" s="137"/>
      <x:c r="D171" s="41"/>
      <x:c r="F171" s="137"/>
      <x:c r="G171" s="137"/>
    </x:row>
    <x:row r="172">
      <x:c r="A172" s="41"/>
      <x:c r="B172" s="45"/>
      <x:c r="C172" s="137"/>
      <x:c r="D172" s="41"/>
      <x:c r="F172" s="137"/>
      <x:c r="G172" s="137"/>
    </x:row>
    <x:row r="173">
      <x:c r="A173" s="41"/>
      <x:c r="B173" s="45"/>
      <x:c r="C173" s="137"/>
      <x:c r="D173" s="41"/>
      <x:c r="F173" s="137"/>
      <x:c r="G173" s="137"/>
    </x:row>
    <x:row r="174">
      <x:c r="A174" s="41"/>
      <x:c r="B174" s="45"/>
      <x:c r="C174" s="137"/>
      <x:c r="D174" s="41"/>
      <x:c r="F174" s="137"/>
      <x:c r="G174" s="137"/>
    </x:row>
    <x:row r="175">
      <x:c r="A175" s="41"/>
      <x:c r="B175" s="45"/>
      <x:c r="C175" s="137"/>
      <x:c r="D175" s="41"/>
      <x:c r="F175" s="137"/>
      <x:c r="G175" s="137"/>
    </x:row>
    <x:row r="176">
      <x:c r="A176" s="41"/>
      <x:c r="B176" s="45"/>
      <x:c r="C176" s="137"/>
      <x:c r="D176" s="41"/>
      <x:c r="F176" s="137"/>
      <x:c r="G176" s="137"/>
    </x:row>
    <x:row r="177">
      <x:c r="A177" s="41"/>
      <x:c r="B177" s="45"/>
      <x:c r="C177" s="137"/>
      <x:c r="D177" s="41"/>
      <x:c r="F177" s="137"/>
      <x:c r="G177" s="137"/>
    </x:row>
    <x:row r="178">
      <x:c r="A178" s="41"/>
      <x:c r="B178" s="45"/>
      <x:c r="C178" s="137"/>
      <x:c r="D178" s="41"/>
      <x:c r="F178" s="137"/>
      <x:c r="G178" s="137"/>
    </x:row>
    <x:row r="179">
      <x:c r="A179" s="41"/>
      <x:c r="B179" s="45"/>
      <x:c r="C179" s="137"/>
      <x:c r="D179" s="41"/>
      <x:c r="F179" s="137"/>
      <x:c r="G179" s="137"/>
    </x:row>
    <x:row r="180">
      <x:c r="A180" s="41"/>
      <x:c r="B180" s="45"/>
      <x:c r="C180" s="137"/>
      <x:c r="D180" s="41"/>
      <x:c r="F180" s="137"/>
      <x:c r="G180" s="137"/>
    </x:row>
    <x:row r="181">
      <x:c r="A181" s="41"/>
      <x:c r="B181" s="45"/>
      <x:c r="C181" s="137"/>
      <x:c r="D181" s="41"/>
      <x:c r="F181" s="137"/>
      <x:c r="G181" s="137"/>
    </x:row>
    <x:row r="182">
      <x:c r="A182" s="41"/>
      <x:c r="B182" s="45"/>
      <x:c r="C182" s="137"/>
      <x:c r="D182" s="41"/>
      <x:c r="F182" s="137"/>
      <x:c r="G182" s="137"/>
    </x:row>
    <x:row r="183">
      <x:c r="A183" s="41"/>
      <x:c r="B183" s="45"/>
      <x:c r="C183" s="137"/>
      <x:c r="D183" s="41"/>
      <x:c r="F183" s="137"/>
      <x:c r="G183" s="137"/>
    </x:row>
    <x:row r="184">
      <x:c r="A184" s="41"/>
      <x:c r="B184" s="45"/>
      <x:c r="C184" s="137"/>
      <x:c r="D184" s="41"/>
      <x:c r="F184" s="137"/>
      <x:c r="G184" s="137"/>
    </x:row>
    <x:row r="185">
      <x:c r="A185" s="41"/>
      <x:c r="B185" s="45"/>
      <x:c r="C185" s="137"/>
      <x:c r="D185" s="41"/>
      <x:c r="F185" s="137"/>
      <x:c r="G185" s="137"/>
    </x:row>
    <x:row r="186">
      <x:c r="A186" s="41"/>
      <x:c r="B186" s="45"/>
      <x:c r="C186" s="137"/>
      <x:c r="D186" s="41"/>
      <x:c r="F186" s="137"/>
      <x:c r="G186" s="137"/>
    </x:row>
    <x:row r="187">
      <x:c r="A187" s="41"/>
      <x:c r="B187" s="45"/>
      <x:c r="C187" s="137"/>
      <x:c r="D187" s="41"/>
      <x:c r="F187" s="137"/>
      <x:c r="G187" s="137"/>
    </x:row>
    <x:row r="188">
      <x:c r="A188" s="41"/>
      <x:c r="B188" s="45"/>
      <x:c r="C188" s="137"/>
      <x:c r="D188" s="41"/>
      <x:c r="F188" s="137"/>
      <x:c r="G188" s="137"/>
    </x:row>
    <x:row r="189">
      <x:c r="A189" s="41"/>
      <x:c r="B189" s="45"/>
      <x:c r="C189" s="137"/>
      <x:c r="D189" s="41"/>
      <x:c r="F189" s="137"/>
      <x:c r="G189" s="137"/>
    </x:row>
    <x:row r="190">
      <x:c r="A190" s="41"/>
      <x:c r="B190" s="45"/>
      <x:c r="C190" s="137"/>
      <x:c r="D190" s="41"/>
      <x:c r="F190" s="137"/>
      <x:c r="G190" s="137"/>
    </x:row>
    <x:row r="191">
      <x:c r="A191" s="41"/>
      <x:c r="B191" s="45"/>
      <x:c r="C191" s="137"/>
      <x:c r="D191" s="41"/>
      <x:c r="F191" s="137"/>
      <x:c r="G191" s="137"/>
    </x:row>
    <x:row r="192">
      <x:c r="A192" s="41"/>
      <x:c r="B192" s="45"/>
      <x:c r="C192" s="137"/>
      <x:c r="D192" s="41"/>
      <x:c r="F192" s="137"/>
      <x:c r="G192" s="137"/>
    </x:row>
    <x:row r="193">
      <x:c r="A193" s="41"/>
      <x:c r="B193" s="45"/>
      <x:c r="C193" s="137"/>
      <x:c r="D193" s="41"/>
      <x:c r="F193" s="137"/>
      <x:c r="G193" s="137"/>
    </x:row>
    <x:row r="194">
      <x:c r="A194" s="41"/>
      <x:c r="B194" s="45"/>
      <x:c r="C194" s="137"/>
      <x:c r="D194" s="41"/>
      <x:c r="F194" s="137"/>
      <x:c r="G194" s="137"/>
    </x:row>
    <x:row r="195">
      <x:c r="A195" s="41"/>
      <x:c r="B195" s="45"/>
      <x:c r="C195" s="137"/>
      <x:c r="D195" s="41"/>
      <x:c r="F195" s="137"/>
      <x:c r="G195" s="137"/>
    </x:row>
    <x:row r="196">
      <x:c r="A196" s="41"/>
      <x:c r="B196" s="45"/>
      <x:c r="C196" s="137"/>
      <x:c r="D196" s="41"/>
      <x:c r="F196" s="137"/>
      <x:c r="G196" s="137"/>
    </x:row>
    <x:row r="197">
      <x:c r="A197" s="41"/>
      <x:c r="B197" s="45"/>
      <x:c r="C197" s="137"/>
      <x:c r="D197" s="41"/>
      <x:c r="F197" s="137"/>
      <x:c r="G197" s="137"/>
    </x:row>
    <x:row r="198">
      <x:c r="A198" s="41"/>
      <x:c r="B198" s="45"/>
      <x:c r="C198" s="137"/>
      <x:c r="D198" s="41"/>
      <x:c r="F198" s="137"/>
      <x:c r="G198" s="137"/>
    </x:row>
    <x:row r="199">
      <x:c r="A199" s="41"/>
      <x:c r="B199" s="45"/>
      <x:c r="C199" s="137"/>
      <x:c r="D199" s="41"/>
      <x:c r="F199" s="137"/>
      <x:c r="G199" s="137"/>
    </x:row>
    <x:row r="200">
      <x:c r="A200" s="41"/>
      <x:c r="B200" s="45"/>
      <x:c r="C200" s="137"/>
      <x:c r="D200" s="41"/>
      <x:c r="F200" s="137"/>
      <x:c r="G200" s="137"/>
    </x:row>
    <x:row r="201">
      <x:c r="A201" s="41"/>
      <x:c r="B201" s="45"/>
      <x:c r="C201" s="137"/>
      <x:c r="D201" s="41"/>
      <x:c r="F201" s="137"/>
      <x:c r="G201" s="137"/>
    </x:row>
    <x:row r="202">
      <x:c r="A202" s="41"/>
      <x:c r="B202" s="45"/>
      <x:c r="C202" s="137"/>
      <x:c r="D202" s="41"/>
      <x:c r="F202" s="137"/>
      <x:c r="G202" s="137"/>
    </x:row>
    <x:row r="203">
      <x:c r="A203" s="41"/>
      <x:c r="B203" s="45"/>
      <x:c r="C203" s="137"/>
      <x:c r="D203" s="41"/>
      <x:c r="F203" s="137"/>
      <x:c r="G203" s="137"/>
    </x:row>
    <x:row r="204">
      <x:c r="A204" s="41"/>
      <x:c r="B204" s="45"/>
      <x:c r="C204" s="137"/>
      <x:c r="D204" s="41"/>
      <x:c r="F204" s="137"/>
      <x:c r="G204" s="137"/>
    </x:row>
    <x:row r="205">
      <x:c r="A205" s="41"/>
      <x:c r="B205" s="45"/>
      <x:c r="C205" s="137"/>
      <x:c r="D205" s="41"/>
      <x:c r="F205" s="137"/>
      <x:c r="G205" s="137"/>
    </x:row>
    <x:row r="206">
      <x:c r="A206" s="41"/>
      <x:c r="B206" s="45"/>
      <x:c r="C206" s="137"/>
      <x:c r="D206" s="41"/>
      <x:c r="F206" s="137"/>
      <x:c r="G206" s="137"/>
    </x:row>
    <x:row r="207">
      <x:c r="A207" s="41"/>
      <x:c r="B207" s="45"/>
      <x:c r="C207" s="137"/>
      <x:c r="D207" s="41"/>
      <x:c r="F207" s="137"/>
      <x:c r="G207" s="137"/>
    </x:row>
    <x:row r="208">
      <x:c r="A208" s="41"/>
      <x:c r="B208" s="45"/>
      <x:c r="C208" s="137"/>
      <x:c r="D208" s="41"/>
      <x:c r="F208" s="137"/>
      <x:c r="G208" s="137"/>
    </x:row>
    <x:row r="209">
      <x:c r="A209" s="41"/>
      <x:c r="B209" s="45"/>
      <x:c r="C209" s="137"/>
      <x:c r="D209" s="41"/>
      <x:c r="F209" s="137"/>
      <x:c r="G209" s="137"/>
    </x:row>
    <x:row r="210">
      <x:c r="A210" s="41"/>
      <x:c r="B210" s="45"/>
      <x:c r="C210" s="137"/>
      <x:c r="D210" s="41"/>
      <x:c r="F210" s="137"/>
      <x:c r="G210" s="137"/>
    </x:row>
    <x:row r="211">
      <x:c r="A211" s="41"/>
      <x:c r="B211" s="45"/>
      <x:c r="C211" s="137"/>
      <x:c r="D211" s="41"/>
      <x:c r="F211" s="137"/>
      <x:c r="G211" s="137"/>
    </x:row>
    <x:row r="212">
      <x:c r="A212" s="41"/>
      <x:c r="B212" s="45"/>
      <x:c r="C212" s="137"/>
      <x:c r="D212" s="41"/>
      <x:c r="F212" s="137"/>
      <x:c r="G212" s="137"/>
    </x:row>
    <x:row r="213">
      <x:c r="A213" s="41"/>
      <x:c r="B213" s="45"/>
      <x:c r="C213" s="137"/>
      <x:c r="D213" s="41"/>
      <x:c r="F213" s="137"/>
      <x:c r="G213" s="137"/>
    </x:row>
    <x:row r="214">
      <x:c r="A214" s="41"/>
      <x:c r="B214" s="45"/>
      <x:c r="C214" s="137"/>
      <x:c r="D214" s="41"/>
      <x:c r="F214" s="137"/>
      <x:c r="G214" s="137"/>
    </x:row>
    <x:row r="215">
      <x:c r="A215" s="41"/>
      <x:c r="B215" s="45"/>
      <x:c r="C215" s="137"/>
      <x:c r="D215" s="41"/>
      <x:c r="F215" s="137"/>
      <x:c r="G215" s="137"/>
    </x:row>
    <x:row r="216">
      <x:c r="A216" s="41"/>
      <x:c r="B216" s="45"/>
      <x:c r="C216" s="137"/>
      <x:c r="D216" s="41"/>
      <x:c r="F216" s="137"/>
      <x:c r="G216" s="137"/>
    </x:row>
    <x:row r="217">
      <x:c r="A217" s="41"/>
      <x:c r="B217" s="45"/>
      <x:c r="C217" s="137"/>
      <x:c r="D217" s="41"/>
      <x:c r="F217" s="137"/>
      <x:c r="G217" s="137"/>
    </x:row>
    <x:row r="218">
      <x:c r="A218" s="41"/>
      <x:c r="B218" s="45"/>
      <x:c r="C218" s="137"/>
      <x:c r="D218" s="41"/>
      <x:c r="F218" s="137"/>
      <x:c r="G218" s="137"/>
    </x:row>
    <x:row r="219">
      <x:c r="A219" s="41"/>
      <x:c r="B219" s="45"/>
      <x:c r="C219" s="137"/>
      <x:c r="D219" s="41"/>
      <x:c r="F219" s="137"/>
      <x:c r="G219" s="137"/>
    </x:row>
    <x:row r="220">
      <x:c r="A220" s="41"/>
      <x:c r="B220" s="45"/>
      <x:c r="C220" s="137"/>
      <x:c r="D220" s="41"/>
      <x:c r="F220" s="137"/>
      <x:c r="G220" s="137"/>
    </x:row>
    <x:row r="221">
      <x:c r="A221" s="41"/>
      <x:c r="B221" s="45"/>
      <x:c r="C221" s="137"/>
      <x:c r="D221" s="41"/>
      <x:c r="F221" s="137"/>
      <x:c r="G221" s="137"/>
    </x:row>
    <x:row r="222">
      <x:c r="A222" s="41"/>
      <x:c r="B222" s="45"/>
      <x:c r="C222" s="137"/>
      <x:c r="D222" s="41"/>
      <x:c r="F222" s="137"/>
      <x:c r="G222" s="137"/>
    </x:row>
    <x:row r="223">
      <x:c r="A223" s="41"/>
      <x:c r="B223" s="45"/>
      <x:c r="C223" s="137"/>
      <x:c r="D223" s="41"/>
      <x:c r="F223" s="137"/>
      <x:c r="G223" s="137"/>
    </x:row>
    <x:row r="224">
      <x:c r="A224" s="41"/>
      <x:c r="B224" s="45"/>
      <x:c r="C224" s="137"/>
      <x:c r="D224" s="41"/>
      <x:c r="F224" s="137"/>
      <x:c r="G224" s="137"/>
    </x:row>
    <x:row r="225">
      <x:c r="A225" s="41"/>
      <x:c r="B225" s="45"/>
      <x:c r="C225" s="137"/>
      <x:c r="D225" s="41"/>
      <x:c r="F225" s="137"/>
      <x:c r="G225" s="137"/>
    </x:row>
    <x:row r="226">
      <x:c r="A226" s="41"/>
      <x:c r="B226" s="45"/>
      <x:c r="C226" s="137"/>
      <x:c r="D226" s="41"/>
      <x:c r="F226" s="137"/>
      <x:c r="G226" s="137"/>
    </x:row>
    <x:row r="227">
      <x:c r="A227" s="41"/>
      <x:c r="B227" s="45"/>
      <x:c r="C227" s="137"/>
      <x:c r="D227" s="41"/>
      <x:c r="F227" s="137"/>
      <x:c r="G227" s="137"/>
    </x:row>
    <x:row r="228">
      <x:c r="A228" s="41"/>
      <x:c r="B228" s="45"/>
      <x:c r="C228" s="137"/>
      <x:c r="D228" s="41"/>
      <x:c r="F228" s="137"/>
      <x:c r="G228" s="137"/>
    </x:row>
    <x:row r="229">
      <x:c r="A229" s="41"/>
      <x:c r="B229" s="45"/>
      <x:c r="C229" s="137"/>
      <x:c r="D229" s="41"/>
      <x:c r="F229" s="137"/>
      <x:c r="G229" s="137"/>
    </x:row>
    <x:row r="230">
      <x:c r="A230" s="41"/>
      <x:c r="B230" s="45"/>
      <x:c r="C230" s="137"/>
      <x:c r="D230" s="41"/>
      <x:c r="F230" s="137"/>
      <x:c r="G230" s="137"/>
    </x:row>
    <x:row r="231">
      <x:c r="A231" s="41"/>
      <x:c r="B231" s="45"/>
      <x:c r="C231" s="137"/>
      <x:c r="D231" s="41"/>
      <x:c r="F231" s="137"/>
      <x:c r="G231" s="137"/>
    </x:row>
    <x:row r="232">
      <x:c r="A232" s="41"/>
      <x:c r="B232" s="45"/>
      <x:c r="C232" s="137"/>
      <x:c r="D232" s="41"/>
      <x:c r="F232" s="137"/>
      <x:c r="G232" s="137"/>
    </x:row>
    <x:row r="233">
      <x:c r="A233" s="41"/>
      <x:c r="B233" s="45"/>
      <x:c r="C233" s="137"/>
      <x:c r="D233" s="41"/>
      <x:c r="F233" s="137"/>
      <x:c r="G233" s="137"/>
    </x:row>
    <x:row r="234">
      <x:c r="A234" s="41"/>
      <x:c r="B234" s="45"/>
      <x:c r="C234" s="137"/>
      <x:c r="D234" s="41"/>
      <x:c r="F234" s="137"/>
      <x:c r="G234" s="137"/>
    </x:row>
    <x:row r="235">
      <x:c r="A235" s="41"/>
      <x:c r="B235" s="45"/>
      <x:c r="C235" s="137"/>
      <x:c r="D235" s="41"/>
      <x:c r="F235" s="137"/>
      <x:c r="G235" s="137"/>
    </x:row>
    <x:row r="236">
      <x:c r="A236" s="41"/>
      <x:c r="B236" s="45"/>
      <x:c r="C236" s="137"/>
      <x:c r="D236" s="41"/>
      <x:c r="F236" s="137"/>
      <x:c r="G236" s="137"/>
    </x:row>
    <x:row r="237">
      <x:c r="A237" s="41"/>
      <x:c r="B237" s="45"/>
      <x:c r="C237" s="137"/>
      <x:c r="D237" s="41"/>
      <x:c r="F237" s="137"/>
      <x:c r="G237" s="137"/>
    </x:row>
    <x:row r="238">
      <x:c r="A238" s="41"/>
      <x:c r="B238" s="45"/>
      <x:c r="C238" s="137"/>
      <x:c r="D238" s="41"/>
      <x:c r="F238" s="137"/>
      <x:c r="G238" s="137"/>
    </x:row>
    <x:row r="239">
      <x:c r="A239" s="41"/>
      <x:c r="B239" s="45"/>
      <x:c r="C239" s="137"/>
      <x:c r="D239" s="41"/>
      <x:c r="F239" s="137"/>
      <x:c r="G239" s="137"/>
    </x:row>
    <x:row r="240">
      <x:c r="A240" s="41"/>
      <x:c r="B240" s="45"/>
      <x:c r="C240" s="137"/>
      <x:c r="D240" s="41"/>
      <x:c r="F240" s="137"/>
      <x:c r="G240" s="137"/>
    </x:row>
    <x:row r="241">
      <x:c r="A241" s="41"/>
      <x:c r="B241" s="45"/>
      <x:c r="C241" s="137"/>
      <x:c r="D241" s="41"/>
      <x:c r="F241" s="137"/>
      <x:c r="G241" s="137"/>
    </x:row>
    <x:row r="242">
      <x:c r="A242" s="41"/>
      <x:c r="B242" s="45"/>
      <x:c r="C242" s="137"/>
      <x:c r="D242" s="41"/>
      <x:c r="F242" s="137"/>
      <x:c r="G242" s="137"/>
    </x:row>
    <x:row r="243">
      <x:c r="A243" s="41"/>
      <x:c r="B243" s="45"/>
      <x:c r="C243" s="137"/>
      <x:c r="D243" s="41"/>
      <x:c r="F243" s="137"/>
      <x:c r="G243" s="137"/>
    </x:row>
    <x:row r="244">
      <x:c r="A244" s="41"/>
      <x:c r="B244" s="45"/>
      <x:c r="C244" s="137"/>
      <x:c r="D244" s="41"/>
      <x:c r="F244" s="137"/>
      <x:c r="G244" s="137"/>
    </x:row>
    <x:row r="245">
      <x:c r="A245" s="41"/>
      <x:c r="B245" s="45"/>
      <x:c r="C245" s="137"/>
      <x:c r="D245" s="41"/>
      <x:c r="F245" s="137"/>
      <x:c r="G245" s="137"/>
    </x:row>
    <x:row r="246">
      <x:c r="A246" s="41"/>
      <x:c r="B246" s="45"/>
      <x:c r="C246" s="137"/>
      <x:c r="D246" s="41"/>
      <x:c r="F246" s="137"/>
      <x:c r="G246" s="137"/>
    </x:row>
    <x:row r="247">
      <x:c r="A247" s="41"/>
      <x:c r="B247" s="45"/>
      <x:c r="C247" s="137"/>
      <x:c r="D247" s="41"/>
      <x:c r="F247" s="137"/>
      <x:c r="G247" s="137"/>
    </x:row>
    <x:row r="248">
      <x:c r="A248" s="41"/>
      <x:c r="B248" s="45"/>
      <x:c r="C248" s="137"/>
      <x:c r="D248" s="41"/>
      <x:c r="F248" s="137"/>
      <x:c r="G248" s="137"/>
    </x:row>
    <x:row r="249">
      <x:c r="A249" s="41"/>
      <x:c r="B249" s="45"/>
      <x:c r="C249" s="137"/>
      <x:c r="D249" s="41"/>
      <x:c r="F249" s="137"/>
      <x:c r="G249" s="137"/>
    </x:row>
    <x:row r="250">
      <x:c r="A250" s="41"/>
      <x:c r="B250" s="45"/>
      <x:c r="C250" s="137"/>
      <x:c r="D250" s="41"/>
      <x:c r="F250" s="137"/>
      <x:c r="G250" s="137"/>
    </x:row>
    <x:row r="251">
      <x:c r="A251" s="41"/>
      <x:c r="B251" s="45"/>
      <x:c r="C251" s="137"/>
      <x:c r="D251" s="41"/>
      <x:c r="F251" s="137"/>
      <x:c r="G251" s="137"/>
    </x:row>
    <x:row r="252">
      <x:c r="A252" s="41"/>
      <x:c r="B252" s="45"/>
      <x:c r="C252" s="137"/>
      <x:c r="D252" s="41"/>
      <x:c r="F252" s="137"/>
      <x:c r="G252" s="137"/>
    </x:row>
    <x:row r="253">
      <x:c r="A253" s="41"/>
      <x:c r="B253" s="45"/>
      <x:c r="C253" s="137"/>
      <x:c r="D253" s="41"/>
      <x:c r="F253" s="137"/>
      <x:c r="G253" s="137"/>
    </x:row>
    <x:row r="254">
      <x:c r="A254" s="41"/>
      <x:c r="B254" s="45"/>
      <x:c r="C254" s="137"/>
      <x:c r="D254" s="41"/>
      <x:c r="F254" s="137"/>
      <x:c r="G254" s="137"/>
    </x:row>
    <x:row r="255">
      <x:c r="A255" s="41"/>
      <x:c r="B255" s="45"/>
      <x:c r="C255" s="137"/>
      <x:c r="D255" s="41"/>
      <x:c r="F255" s="137"/>
      <x:c r="G255" s="137"/>
    </x:row>
    <x:row r="256">
      <x:c r="A256" s="41"/>
      <x:c r="B256" s="45"/>
      <x:c r="C256" s="137"/>
      <x:c r="D256" s="41"/>
      <x:c r="F256" s="137"/>
      <x:c r="G256" s="137"/>
    </x:row>
    <x:row r="257">
      <x:c r="A257" s="41"/>
      <x:c r="B257" s="45"/>
      <x:c r="C257" s="137"/>
      <x:c r="D257" s="41"/>
      <x:c r="F257" s="137"/>
      <x:c r="G257" s="137"/>
    </x:row>
    <x:row r="258">
      <x:c r="A258" s="41"/>
      <x:c r="B258" s="45"/>
      <x:c r="C258" s="137"/>
      <x:c r="D258" s="41"/>
      <x:c r="F258" s="137"/>
      <x:c r="G258" s="137"/>
    </x:row>
    <x:row r="259">
      <x:c r="A259" s="41"/>
      <x:c r="B259" s="45"/>
      <x:c r="C259" s="137"/>
      <x:c r="D259" s="41"/>
      <x:c r="F259" s="137"/>
      <x:c r="G259" s="137"/>
    </x:row>
    <x:row r="260">
      <x:c r="A260" s="41"/>
      <x:c r="B260" s="45"/>
      <x:c r="C260" s="137"/>
      <x:c r="D260" s="41"/>
      <x:c r="F260" s="137"/>
      <x:c r="G260" s="137"/>
    </x:row>
    <x:row r="261">
      <x:c r="A261" s="41"/>
      <x:c r="B261" s="45"/>
      <x:c r="C261" s="137"/>
      <x:c r="D261" s="41"/>
      <x:c r="F261" s="137"/>
      <x:c r="G261" s="137"/>
    </x:row>
    <x:row r="262">
      <x:c r="A262" s="41"/>
      <x:c r="B262" s="45"/>
      <x:c r="C262" s="137"/>
      <x:c r="D262" s="41"/>
      <x:c r="F262" s="137"/>
      <x:c r="G262" s="137"/>
    </x:row>
    <x:row r="263">
      <x:c r="A263" s="41"/>
      <x:c r="B263" s="45"/>
      <x:c r="C263" s="137"/>
      <x:c r="D263" s="41"/>
      <x:c r="F263" s="137"/>
      <x:c r="G263" s="137"/>
    </x:row>
    <x:row r="264">
      <x:c r="A264" s="41"/>
      <x:c r="B264" s="45"/>
      <x:c r="C264" s="137"/>
      <x:c r="D264" s="41"/>
      <x:c r="F264" s="137"/>
      <x:c r="G264" s="137"/>
    </x:row>
    <x:row r="265">
      <x:c r="A265" s="41"/>
      <x:c r="B265" s="45"/>
      <x:c r="C265" s="137"/>
      <x:c r="D265" s="41"/>
      <x:c r="F265" s="137"/>
      <x:c r="G265" s="137"/>
    </x:row>
    <x:row r="266">
      <x:c r="A266" s="41"/>
      <x:c r="B266" s="45"/>
      <x:c r="C266" s="137"/>
      <x:c r="D266" s="41"/>
      <x:c r="F266" s="137"/>
      <x:c r="G266" s="137"/>
    </x:row>
    <x:row r="267">
      <x:c r="A267" s="41"/>
      <x:c r="B267" s="45"/>
      <x:c r="C267" s="137"/>
      <x:c r="D267" s="41"/>
      <x:c r="F267" s="137"/>
      <x:c r="G267" s="137"/>
    </x:row>
    <x:row r="268">
      <x:c r="A268" s="41"/>
      <x:c r="B268" s="45"/>
      <x:c r="C268" s="137"/>
      <x:c r="D268" s="41"/>
      <x:c r="F268" s="137"/>
      <x:c r="G268" s="137"/>
    </x:row>
    <x:row r="269">
      <x:c r="A269" s="41"/>
      <x:c r="B269" s="45"/>
      <x:c r="C269" s="137"/>
      <x:c r="D269" s="41"/>
      <x:c r="F269" s="137"/>
      <x:c r="G269" s="137"/>
    </x:row>
    <x:row r="270">
      <x:c r="A270" s="41"/>
      <x:c r="B270" s="45"/>
      <x:c r="C270" s="137"/>
      <x:c r="D270" s="41"/>
      <x:c r="F270" s="137"/>
      <x:c r="G270" s="137"/>
    </x:row>
    <x:row r="271">
      <x:c r="A271" s="41"/>
      <x:c r="B271" s="45"/>
      <x:c r="C271" s="137"/>
      <x:c r="D271" s="41"/>
      <x:c r="F271" s="137"/>
      <x:c r="G271" s="137"/>
    </x:row>
    <x:row r="272">
      <x:c r="A272" s="41"/>
      <x:c r="B272" s="45"/>
      <x:c r="C272" s="137"/>
      <x:c r="D272" s="41"/>
      <x:c r="F272" s="137"/>
      <x:c r="G272" s="137"/>
    </x:row>
    <x:row r="273">
      <x:c r="A273" s="41"/>
      <x:c r="B273" s="45"/>
      <x:c r="C273" s="137"/>
      <x:c r="D273" s="41"/>
      <x:c r="F273" s="137"/>
      <x:c r="G273" s="137"/>
    </x:row>
    <x:row r="274">
      <x:c r="A274" s="41"/>
      <x:c r="B274" s="45"/>
      <x:c r="C274" s="137"/>
      <x:c r="D274" s="41"/>
      <x:c r="F274" s="137"/>
      <x:c r="G274" s="137"/>
    </x:row>
    <x:row r="275">
      <x:c r="A275" s="41"/>
      <x:c r="B275" s="45"/>
      <x:c r="C275" s="137"/>
      <x:c r="D275" s="41"/>
      <x:c r="F275" s="137"/>
      <x:c r="G275" s="137"/>
    </x:row>
    <x:row r="276">
      <x:c r="A276" s="41"/>
      <x:c r="B276" s="45"/>
      <x:c r="C276" s="137"/>
      <x:c r="D276" s="41"/>
      <x:c r="F276" s="137"/>
      <x:c r="G276" s="137"/>
    </x:row>
    <x:row r="277">
      <x:c r="A277" s="41"/>
      <x:c r="B277" s="45"/>
      <x:c r="C277" s="137"/>
      <x:c r="D277" s="41"/>
      <x:c r="F277" s="137"/>
      <x:c r="G277" s="137"/>
    </x:row>
    <x:row r="278">
      <x:c r="A278" s="41"/>
      <x:c r="B278" s="45"/>
      <x:c r="C278" s="137"/>
      <x:c r="D278" s="41"/>
      <x:c r="F278" s="137"/>
      <x:c r="G278" s="137"/>
    </x:row>
    <x:row r="279">
      <x:c r="A279" s="41"/>
      <x:c r="B279" s="45"/>
      <x:c r="C279" s="137"/>
      <x:c r="D279" s="41"/>
      <x:c r="F279" s="137"/>
      <x:c r="G279" s="137"/>
    </x:row>
    <x:row r="280">
      <x:c r="A280" s="41"/>
      <x:c r="B280" s="45"/>
      <x:c r="C280" s="137"/>
      <x:c r="D280" s="41"/>
      <x:c r="F280" s="137"/>
      <x:c r="G280" s="137"/>
    </x:row>
    <x:row r="281">
      <x:c r="A281" s="41"/>
      <x:c r="B281" s="45"/>
      <x:c r="C281" s="137"/>
      <x:c r="D281" s="41"/>
      <x:c r="F281" s="137"/>
      <x:c r="G281" s="137"/>
    </x:row>
    <x:row r="282">
      <x:c r="A282" s="41"/>
      <x:c r="B282" s="45"/>
      <x:c r="C282" s="137"/>
      <x:c r="D282" s="41"/>
      <x:c r="F282" s="137"/>
      <x:c r="G282" s="137"/>
    </x:row>
    <x:row r="283">
      <x:c r="A283" s="41"/>
      <x:c r="B283" s="45"/>
      <x:c r="C283" s="137"/>
      <x:c r="D283" s="41"/>
      <x:c r="F283" s="137"/>
      <x:c r="G283" s="137"/>
    </x:row>
    <x:row r="284">
      <x:c r="A284" s="41"/>
      <x:c r="B284" s="45"/>
      <x:c r="C284" s="137"/>
      <x:c r="D284" s="41"/>
      <x:c r="F284" s="137"/>
      <x:c r="G284" s="137"/>
    </x:row>
    <x:row r="285">
      <x:c r="A285" s="41"/>
      <x:c r="B285" s="45"/>
      <x:c r="C285" s="137"/>
      <x:c r="D285" s="41"/>
      <x:c r="F285" s="137"/>
      <x:c r="G285" s="137"/>
    </x:row>
    <x:row r="286">
      <x:c r="A286" s="41"/>
      <x:c r="B286" s="45"/>
      <x:c r="C286" s="137"/>
      <x:c r="D286" s="41"/>
      <x:c r="F286" s="137"/>
      <x:c r="G286" s="137"/>
    </x:row>
    <x:row r="287">
      <x:c r="A287" s="41"/>
      <x:c r="B287" s="45"/>
      <x:c r="C287" s="137"/>
      <x:c r="D287" s="41"/>
      <x:c r="F287" s="137"/>
      <x:c r="G287" s="137"/>
    </x:row>
    <x:row r="288">
      <x:c r="A288" s="41"/>
      <x:c r="B288" s="45"/>
      <x:c r="C288" s="137"/>
      <x:c r="D288" s="41"/>
      <x:c r="F288" s="137"/>
      <x:c r="G288" s="137"/>
    </x:row>
    <x:row r="289">
      <x:c r="A289" s="41"/>
      <x:c r="B289" s="45"/>
      <x:c r="C289" s="137"/>
      <x:c r="D289" s="41"/>
      <x:c r="F289" s="137"/>
      <x:c r="G289" s="137"/>
    </x:row>
    <x:row r="290">
      <x:c r="A290" s="41"/>
      <x:c r="B290" s="45"/>
      <x:c r="C290" s="137"/>
      <x:c r="D290" s="41"/>
      <x:c r="F290" s="137"/>
      <x:c r="G290" s="137"/>
    </x:row>
    <x:row r="291">
      <x:c r="A291" s="41"/>
      <x:c r="B291" s="45"/>
      <x:c r="C291" s="137"/>
      <x:c r="D291" s="41"/>
      <x:c r="F291" s="137"/>
      <x:c r="G291" s="137"/>
    </x:row>
    <x:row r="292">
      <x:c r="A292" s="41"/>
      <x:c r="B292" s="45"/>
      <x:c r="C292" s="137"/>
      <x:c r="D292" s="41"/>
      <x:c r="F292" s="137"/>
      <x:c r="G292" s="137"/>
    </x:row>
    <x:row r="293">
      <x:c r="A293" s="41"/>
      <x:c r="B293" s="45"/>
      <x:c r="C293" s="137"/>
      <x:c r="D293" s="41"/>
      <x:c r="F293" s="137"/>
      <x:c r="G293" s="137"/>
    </x:row>
    <x:row r="294">
      <x:c r="A294" s="41"/>
      <x:c r="B294" s="45"/>
      <x:c r="C294" s="137"/>
      <x:c r="D294" s="41"/>
      <x:c r="F294" s="137"/>
      <x:c r="G294" s="137"/>
    </x:row>
    <x:row r="295">
      <x:c r="A295" s="41"/>
      <x:c r="B295" s="45"/>
      <x:c r="C295" s="137"/>
      <x:c r="D295" s="41"/>
      <x:c r="F295" s="137"/>
      <x:c r="G295" s="137"/>
    </x:row>
    <x:row r="296">
      <x:c r="A296" s="41"/>
      <x:c r="B296" s="45"/>
      <x:c r="C296" s="137"/>
      <x:c r="D296" s="41"/>
      <x:c r="F296" s="137"/>
      <x:c r="G296" s="137"/>
    </x:row>
    <x:row r="297">
      <x:c r="A297" s="41"/>
      <x:c r="B297" s="45"/>
      <x:c r="C297" s="137"/>
      <x:c r="D297" s="41"/>
      <x:c r="F297" s="137"/>
      <x:c r="G297" s="137"/>
    </x:row>
    <x:row r="298">
      <x:c r="A298" s="41"/>
      <x:c r="B298" s="45"/>
      <x:c r="C298" s="137"/>
      <x:c r="D298" s="41"/>
      <x:c r="F298" s="137"/>
      <x:c r="G298" s="137"/>
    </x:row>
    <x:row r="299">
      <x:c r="A299" s="41"/>
      <x:c r="B299" s="45"/>
      <x:c r="C299" s="137"/>
      <x:c r="D299" s="41"/>
      <x:c r="F299" s="137"/>
      <x:c r="G299" s="137"/>
    </x:row>
    <x:row r="300">
      <x:c r="A300" s="41"/>
      <x:c r="B300" s="45"/>
      <x:c r="C300" s="137"/>
      <x:c r="D300" s="41"/>
      <x:c r="F300" s="137"/>
      <x:c r="G300" s="137"/>
    </x:row>
    <x:row r="301">
      <x:c r="A301" s="41"/>
      <x:c r="B301" s="45"/>
      <x:c r="C301" s="137"/>
      <x:c r="D301" s="41"/>
      <x:c r="F301" s="137"/>
      <x:c r="G301" s="137"/>
    </x:row>
    <x:row r="302">
      <x:c r="A302" s="41"/>
      <x:c r="B302" s="45"/>
      <x:c r="C302" s="137"/>
      <x:c r="D302" s="41"/>
      <x:c r="F302" s="137"/>
      <x:c r="G302" s="137"/>
    </x:row>
    <x:row r="303">
      <x:c r="A303" s="41"/>
      <x:c r="B303" s="45"/>
      <x:c r="C303" s="137"/>
      <x:c r="D303" s="41"/>
      <x:c r="F303" s="137"/>
      <x:c r="G303" s="137"/>
    </x:row>
    <x:row r="304">
      <x:c r="A304" s="45"/>
      <x:c r="C304" s="137"/>
      <x:c r="D304" s="41"/>
      <x:c r="F304" s="137"/>
      <x:c r="G304" s="137"/>
    </x:row>
    <x:row r="305">
      <x:c r="A305" s="45"/>
      <x:c r="C305" s="137"/>
      <x:c r="D305" s="41"/>
      <x:c r="F305" s="137"/>
      <x:c r="G305" s="137"/>
    </x:row>
    <x:row r="306">
      <x:c r="A306" s="45"/>
      <x:c r="C306" s="137"/>
      <x:c r="D306" s="41"/>
      <x:c r="F306" s="137"/>
      <x:c r="G306" s="137"/>
    </x:row>
    <x:row r="307">
      <x:c r="A307" s="45"/>
      <x:c r="C307" s="137"/>
      <x:c r="D307" s="41"/>
      <x:c r="F307" s="137"/>
      <x:c r="G307" s="137"/>
    </x:row>
    <x:row r="308">
      <x:c r="A308" s="45"/>
      <x:c r="C308" s="137"/>
      <x:c r="D308" s="41"/>
      <x:c r="F308" s="137"/>
      <x:c r="G308" s="137"/>
    </x:row>
    <x:row r="309">
      <x:c r="A309" s="45"/>
      <x:c r="C309" s="137"/>
      <x:c r="D309" s="41"/>
      <x:c r="F309" s="137"/>
      <x:c r="G309" s="137"/>
    </x:row>
    <x:row r="310">
      <x:c r="A310" s="45"/>
      <x:c r="C310" s="137"/>
      <x:c r="D310" s="41"/>
      <x:c r="F310" s="137"/>
      <x:c r="G310" s="137"/>
    </x:row>
    <x:row r="311">
      <x:c r="A311" s="45"/>
      <x:c r="C311" s="137"/>
      <x:c r="D311" s="41"/>
      <x:c r="F311" s="137"/>
      <x:c r="G311" s="137"/>
    </x:row>
    <x:row r="312">
      <x:c r="A312" s="45"/>
      <x:c r="C312" s="137"/>
      <x:c r="D312" s="41"/>
      <x:c r="F312" s="137"/>
      <x:c r="G312" s="137"/>
    </x:row>
    <x:row r="313">
      <x:c r="A313" s="45"/>
      <x:c r="C313" s="137"/>
      <x:c r="D313" s="41"/>
      <x:c r="F313" s="137"/>
      <x:c r="G313" s="137"/>
    </x:row>
  </x:sheetData>
  <x:mergeCells>
    <x:mergeCell ref="A1:J1"/>
    <x:mergeCell ref="A2:J2"/>
    <x:mergeCell ref="A4:I4"/>
    <x:mergeCell ref="A12:J12"/>
  </x:mergeCells>
  <x:conditionalFormatting sqref="I6:I303">
    <x:cfRule type="expression" dxfId="16" priority="1">
      <x:formula>I6="Uygun"</x:formula>
    </x:cfRule>
    <x:cfRule type="expression" dxfId="17" priority="2">
      <x:formula>AND(I6&lt;&gt;"",I6&lt;&gt;"Uygun")</x:formula>
    </x:cfRule>
  </x:conditionalFormatting>
  <x:conditionalFormatting sqref="J14:J313">
    <x:cfRule type="expression" dxfId="18" priority="3">
      <x:formula>J14="Uygun"</x:formula>
    </x:cfRule>
    <x:cfRule type="expression" dxfId="19" priority="4">
      <x:formula>AND(J14&lt;&gt;"",J14&lt;&gt;"Uygun")</x:formula>
    </x:cfRule>
  </x:conditionalFormatting>
  <x:dataValidations count="5">
    <x:dataValidation operator="between" sqref="B6:B303">
      <x:formula1>1</x:formula1>
      <x:formula2>9999</x:formula2>
    </x:dataValidation>
    <x:dataValidation type="list" sqref="H6:H303">
      <x:formula1>"Mevcut Kayıt,Excel Girişi,Google Form,Google Sheets,CSV İçe Aktarım"</x:formula1>
    </x:dataValidation>
    <x:dataValidation operator="between" sqref="A14:A313">
      <x:formula1>1</x:formula1>
      <x:formula2>9999</x:formula2>
    </x:dataValidation>
    <x:dataValidation type="list" sqref="E14:E313">
      <x:formula1>"Ödendi,Bekliyor,Gecikmede,Kısmi Ödendi"</x:formula1>
    </x:dataValidation>
    <x:dataValidation type="list" sqref="I14:I313">
      <x:formula1>"Mevcut Kayıt,Excel Girişi,Google Form,Google Sheets,CSV İçe Aktarım"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7e364296863049a2"/>
    <x:tablePart xmlns:r="http://schemas.openxmlformats.org/officeDocument/2006/relationships" r:id="R2fc4ae4bcbe3489c"/>
  </x:tableParts>
</x:worksheet>
</file>

<file path=xl/worksheets/sheet8.xml><?xml version="1.0" encoding="utf-8"?>
<x:worksheet xmlns:x="http://schemas.openxmlformats.org/spreadsheetml/2006/main">
  <x:sheetFormatPr defaultRowHeight="15"/>
  <x:sheetData>
    <x:row r="1" ht="26" customHeight="1">
      <x:c r="A1" s="5" t="str">
        <x:v>GOOGLE FORM YANITLARI VE AKTARIM KONTROLÜ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</x:row>
    <x:row r="2" ht="26" customHeight="1">
      <x:c r="A2" s="13" t="str">
        <x:v>Sol taraf ham yanıt, sağ taraf doğrulanmış aktarım alanıdır.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</x:row>
    <x:row r="4">
      <x:c r="A4" s="22" t="str">
        <x:v>Zaman Damgası</x:v>
      </x:c>
      <x:c r="B4" s="22" t="str">
        <x:v>Öğrenci Kodu</x:v>
      </x:c>
      <x:c r="C4" s="22" t="str">
        <x:v>Ders Tarihi</x:v>
      </x:c>
      <x:c r="D4" s="22" t="str">
        <x:v>Ders</x:v>
      </x:c>
      <x:c r="E4" s="22" t="str">
        <x:v>İşlenen Konu</x:v>
      </x:c>
      <x:c r="F4" s="22" t="str">
        <x:v>Soru Sayısı</x:v>
      </x:c>
      <x:c r="G4" s="22" t="str">
        <x:v>Doğru</x:v>
      </x:c>
      <x:c r="H4" s="22" t="str">
        <x:v>Verilen Ödev</x:v>
      </x:c>
      <x:c r="I4" s="22" t="str">
        <x:v>Ödev Son Tarihi</x:v>
      </x:c>
      <x:c r="J4" s="22" t="str">
        <x:v>Önceki Ödev Durumu</x:v>
      </x:c>
      <x:c r="K4" s="22" t="str">
        <x:v>Konu Durumu</x:v>
      </x:c>
      <x:c r="L4" s="22" t="str">
        <x:v>Standart Ders Notu</x:v>
      </x:c>
      <x:c r="M4" s="22" t="str">
        <x:v>Özel Öğretmen Notu</x:v>
      </x:c>
      <x:c r="N4" s="22" t="str">
        <x:v>Sonraki Ders Hedefi</x:v>
      </x:c>
      <x:c r="O4" s="22" t="str">
        <x:v>Ders Süresi</x:v>
      </x:c>
      <x:c r="P4" s="22" t="str">
        <x:v>Veli Bilgilendirme</x:v>
      </x:c>
      <x:c r="R4" s="22" t="str">
        <x:v>Zaman Damgası</x:v>
      </x:c>
      <x:c r="S4" s="22" t="str">
        <x:v>Öğrenci Kodu</x:v>
      </x:c>
      <x:c r="T4" s="22" t="str">
        <x:v>Ad Soyad</x:v>
      </x:c>
      <x:c r="U4" s="22" t="str">
        <x:v>Sınıf</x:v>
      </x:c>
      <x:c r="V4" s="22" t="str">
        <x:v>Ders Tarihi</x:v>
      </x:c>
      <x:c r="W4" s="22" t="str">
        <x:v>Ders</x:v>
      </x:c>
      <x:c r="X4" s="22" t="str">
        <x:v>İşlenen Konu</x:v>
      </x:c>
      <x:c r="Y4" s="22" t="str">
        <x:v>Soru Sayısı</x:v>
      </x:c>
      <x:c r="Z4" s="22" t="str">
        <x:v>Doğru</x:v>
      </x:c>
      <x:c r="AA4" s="22" t="str">
        <x:v>Yanlış</x:v>
      </x:c>
      <x:c r="AB4" s="22" t="str">
        <x:v>Başarı %</x:v>
      </x:c>
      <x:c r="AC4" s="22" t="str">
        <x:v>Verilen Ödev</x:v>
      </x:c>
      <x:c r="AD4" s="22" t="str">
        <x:v>Ödev Son Tarihi</x:v>
      </x:c>
      <x:c r="AE4" s="22" t="str">
        <x:v>Önceki Ödev Durumu</x:v>
      </x:c>
      <x:c r="AF4" s="22" t="str">
        <x:v>Konu Durumu</x:v>
      </x:c>
      <x:c r="AG4" s="22" t="str">
        <x:v>Standart Ders Notu</x:v>
      </x:c>
      <x:c r="AH4" s="22" t="str">
        <x:v>Özel Öğretmen Notu</x:v>
      </x:c>
      <x:c r="AI4" s="22" t="str">
        <x:v>Sonraki Ders Hedefi</x:v>
      </x:c>
      <x:c r="AJ4" s="22" t="str">
        <x:v>Ders Süresi</x:v>
      </x:c>
      <x:c r="AK4" s="22" t="str">
        <x:v>Veli Bilgilendirme</x:v>
      </x:c>
      <x:c r="AL4" s="22" t="str">
        <x:v>Form Kayıt ID</x:v>
      </x:c>
      <x:c r="AM4" s="22" t="str">
        <x:v>Kayıt Kontrolü</x:v>
      </x:c>
      <x:c r="AN4" s="22" t="str">
        <x:v>Aktarım Durumu</x:v>
      </x:c>
      <x:c r="AO4" s="22" t="str">
        <x:v>Aktarım Tarihi</x:v>
      </x:c>
      <x:c r="AP4" s="22" t="str">
        <x:v>Aktarım Notu</x:v>
      </x:c>
    </x:row>
    <x:row r="5">
      <x:c r="A5" s="158"/>
      <x:c r="B5" s="44"/>
      <x:c r="C5" s="40"/>
      <x:c r="D5" s="30"/>
      <x:c r="E5" s="30"/>
      <x:c r="F5" s="30"/>
      <x:c r="G5" s="30"/>
      <x:c r="H5" s="30"/>
      <x:c r="I5" s="40"/>
      <x:c r="J5" s="30"/>
      <x:c r="K5" s="30"/>
      <x:c r="L5" s="30"/>
      <x:c r="M5" s="30"/>
      <x:c r="N5" s="30"/>
      <x:c r="O5" s="30"/>
      <x:c r="P5" s="30"/>
      <x:c r="R5" s="160" t="str">
        <x:f>IF(A5="","",A5)</x:f>
      </x:c>
      <x:c r="S5" s="126" t="str">
        <x:f>IF(B5="","",B5)</x:f>
      </x:c>
      <x:c r="T5" s="36" t="str">
        <x:f>IF(S5="","",IFERROR(INDEX('02_Öğrenciler'!$B$5:$B$203,MATCH(S5,'02_Öğrenciler'!$A$5:$A$203,0)),"KOD HATALI"))</x:f>
      </x:c>
      <x:c r="U5" s="36" t="str">
        <x:f>IF(S5="","",IFERROR(INDEX('02_Öğrenciler'!$C$5:$C$203,MATCH(S5,'02_Öğrenciler'!$A$5:$A$203,0)),""))</x:f>
      </x:c>
      <x:c r="V5" s="132" t="str">
        <x:f>IF(C5="","",C5)</x:f>
      </x:c>
      <x:c r="W5" s="36" t="str">
        <x:f>IF(D5="","",D5)</x:f>
      </x:c>
      <x:c r="X5" s="36" t="str">
        <x:f>IF(E5="","",E5)</x:f>
      </x:c>
      <x:c r="Y5" s="36" t="str">
        <x:f>IF(F5="","",F5)</x:f>
      </x:c>
      <x:c r="Z5" s="36" t="str">
        <x:f>IF(G5="","",G5)</x:f>
      </x:c>
      <x:c r="AA5" s="36" t="str">
        <x:f>IF(OR(Y5="",Z5=""),"",Y5-Z5)</x:f>
      </x:c>
      <x:c r="AB5" s="52" t="str">
        <x:f>IF(OR(Y5="",Z5=""),"",IFERROR(Z5/Y5,0))</x:f>
      </x:c>
      <x:c r="AC5" s="36" t="str">
        <x:f>IF(H5="","",H5)</x:f>
      </x:c>
      <x:c r="AD5" s="132" t="str">
        <x:f>IF(I5="","",I5)</x:f>
      </x:c>
      <x:c r="AE5" s="36" t="str">
        <x:f>IF(J5="","",J5)</x:f>
      </x:c>
      <x:c r="AF5" s="36" t="str">
        <x:f>IF(K5="","",K5)</x:f>
      </x:c>
      <x:c r="AG5" s="36" t="str">
        <x:f>IF(L5="","",L5)</x:f>
      </x:c>
      <x:c r="AH5" s="36" t="str">
        <x:f>IF(M5="","",M5)</x:f>
      </x:c>
      <x:c r="AI5" s="36" t="str">
        <x:f>IF(N5="","",N5)</x:f>
      </x:c>
      <x:c r="AJ5" s="36" t="str">
        <x:f>IF(O5="","",O5)</x:f>
      </x:c>
      <x:c r="AK5" s="36" t="str">
        <x:f>IF(P5="","",P5)</x:f>
      </x:c>
      <x:c r="AL5" s="36" t="str">
        <x:f>IF(R5="","",TEXT(R5,"yyyymmddhhmmss")&amp;"-"&amp;S5&amp;"-"&amp;TEXT(ROW()-4,"0000"))</x:f>
      </x:c>
      <x:c r="AM5" s="36" t="str">
        <x:f>IF(R5="","",IF(T5="KOD HATALI","Öğrenci Kodu Hatalı",IF(OR(V5="",W5="",X5="",Y5="",Z5="",AF5="",AG5="",AJ5="",AK5=""),"Eksik Zorunlu Alan",IF(OR(Y5&lt;0,Z5&lt;0,Z5&gt;Y5),"Soru Sayısı Hatası",IF(AND(AD5&lt;&gt;"",AD5&lt;V5),"Ödev Tarihi Hatası",IF(COUNTIF($AL$5:AL5,AL5)&gt;1,"Mükerrer Form Kaydı","Aktarıma Hazır"))))))</x:f>
      </x:c>
      <x:c r="AN5" s="30"/>
      <x:c r="AO5" s="40"/>
      <x:c r="AP5" s="30"/>
    </x:row>
    <x:row r="6">
      <x:c r="A6" s="158"/>
      <x:c r="B6" s="44"/>
      <x:c r="C6" s="40"/>
      <x:c r="D6" s="30"/>
      <x:c r="E6" s="30"/>
      <x:c r="F6" s="30"/>
      <x:c r="G6" s="30"/>
      <x:c r="H6" s="30"/>
      <x:c r="I6" s="40"/>
      <x:c r="J6" s="30"/>
      <x:c r="K6" s="30"/>
      <x:c r="L6" s="30"/>
      <x:c r="M6" s="30"/>
      <x:c r="N6" s="30"/>
      <x:c r="O6" s="30"/>
      <x:c r="P6" s="30"/>
      <x:c r="R6" s="160" t="str">
        <x:f>IF(A6="","",A6)</x:f>
      </x:c>
      <x:c r="S6" s="126" t="str">
        <x:f>IF(B6="","",B6)</x:f>
      </x:c>
      <x:c r="T6" s="36" t="str">
        <x:f>IF(S6="","",IFERROR(INDEX('02_Öğrenciler'!$B$5:$B$203,MATCH(S6,'02_Öğrenciler'!$A$5:$A$203,0)),"KOD HATALI"))</x:f>
      </x:c>
      <x:c r="U6" s="36" t="str">
        <x:f>IF(S6="","",IFERROR(INDEX('02_Öğrenciler'!$C$5:$C$203,MATCH(S6,'02_Öğrenciler'!$A$5:$A$203,0)),""))</x:f>
      </x:c>
      <x:c r="V6" s="132" t="str">
        <x:f>IF(C6="","",C6)</x:f>
      </x:c>
      <x:c r="W6" s="36" t="str">
        <x:f>IF(D6="","",D6)</x:f>
      </x:c>
      <x:c r="X6" s="36" t="str">
        <x:f>IF(E6="","",E6)</x:f>
      </x:c>
      <x:c r="Y6" s="36" t="str">
        <x:f>IF(F6="","",F6)</x:f>
      </x:c>
      <x:c r="Z6" s="36" t="str">
        <x:f>IF(G6="","",G6)</x:f>
      </x:c>
      <x:c r="AA6" s="36" t="str">
        <x:f>IF(OR(Y6="",Z6=""),"",Y6-Z6)</x:f>
      </x:c>
      <x:c r="AB6" s="52" t="str">
        <x:f>IF(OR(Y6="",Z6=""),"",IFERROR(Z6/Y6,0))</x:f>
      </x:c>
      <x:c r="AC6" s="36" t="str">
        <x:f>IF(H6="","",H6)</x:f>
      </x:c>
      <x:c r="AD6" s="132" t="str">
        <x:f>IF(I6="","",I6)</x:f>
      </x:c>
      <x:c r="AE6" s="36" t="str">
        <x:f>IF(J6="","",J6)</x:f>
      </x:c>
      <x:c r="AF6" s="36" t="str">
        <x:f>IF(K6="","",K6)</x:f>
      </x:c>
      <x:c r="AG6" s="36" t="str">
        <x:f>IF(L6="","",L6)</x:f>
      </x:c>
      <x:c r="AH6" s="36" t="str">
        <x:f>IF(M6="","",M6)</x:f>
      </x:c>
      <x:c r="AI6" s="36" t="str">
        <x:f>IF(N6="","",N6)</x:f>
      </x:c>
      <x:c r="AJ6" s="36" t="str">
        <x:f>IF(O6="","",O6)</x:f>
      </x:c>
      <x:c r="AK6" s="36" t="str">
        <x:f>IF(P6="","",P6)</x:f>
      </x:c>
      <x:c r="AL6" s="36" t="str">
        <x:f>IF(R6="","",TEXT(R6,"yyyymmddhhmmss")&amp;"-"&amp;S6&amp;"-"&amp;TEXT(ROW()-4,"0000"))</x:f>
      </x:c>
      <x:c r="AM6" s="36" t="str">
        <x:f>IF(R6="","",IF(T6="KOD HATALI","Öğrenci Kodu Hatalı",IF(OR(V6="",W6="",X6="",Y6="",Z6="",AF6="",AG6="",AJ6="",AK6=""),"Eksik Zorunlu Alan",IF(OR(Y6&lt;0,Z6&lt;0,Z6&gt;Y6),"Soru Sayısı Hatası",IF(AND(AD6&lt;&gt;"",AD6&lt;V6),"Ödev Tarihi Hatası",IF(COUNTIF($AL$5:AL6,AL6)&gt;1,"Mükerrer Form Kaydı","Aktarıma Hazır"))))))</x:f>
      </x:c>
      <x:c r="AN6" s="30"/>
      <x:c r="AO6" s="40"/>
      <x:c r="AP6" s="30"/>
    </x:row>
    <x:row r="7">
      <x:c r="A7" s="158"/>
      <x:c r="B7" s="44"/>
      <x:c r="C7" s="40"/>
      <x:c r="D7" s="30"/>
      <x:c r="E7" s="30"/>
      <x:c r="F7" s="30"/>
      <x:c r="G7" s="30"/>
      <x:c r="H7" s="30"/>
      <x:c r="I7" s="40"/>
      <x:c r="J7" s="30"/>
      <x:c r="K7" s="30"/>
      <x:c r="L7" s="30"/>
      <x:c r="M7" s="30"/>
      <x:c r="N7" s="30"/>
      <x:c r="O7" s="30"/>
      <x:c r="P7" s="30"/>
      <x:c r="R7" s="160" t="str">
        <x:f>IF(A7="","",A7)</x:f>
      </x:c>
      <x:c r="S7" s="126" t="str">
        <x:f>IF(B7="","",B7)</x:f>
      </x:c>
      <x:c r="T7" s="36" t="str">
        <x:f>IF(S7="","",IFERROR(INDEX('02_Öğrenciler'!$B$5:$B$203,MATCH(S7,'02_Öğrenciler'!$A$5:$A$203,0)),"KOD HATALI"))</x:f>
      </x:c>
      <x:c r="U7" s="36" t="str">
        <x:f>IF(S7="","",IFERROR(INDEX('02_Öğrenciler'!$C$5:$C$203,MATCH(S7,'02_Öğrenciler'!$A$5:$A$203,0)),""))</x:f>
      </x:c>
      <x:c r="V7" s="132" t="str">
        <x:f>IF(C7="","",C7)</x:f>
      </x:c>
      <x:c r="W7" s="36" t="str">
        <x:f>IF(D7="","",D7)</x:f>
      </x:c>
      <x:c r="X7" s="36" t="str">
        <x:f>IF(E7="","",E7)</x:f>
      </x:c>
      <x:c r="Y7" s="36" t="str">
        <x:f>IF(F7="","",F7)</x:f>
      </x:c>
      <x:c r="Z7" s="36" t="str">
        <x:f>IF(G7="","",G7)</x:f>
      </x:c>
      <x:c r="AA7" s="36" t="str">
        <x:f>IF(OR(Y7="",Z7=""),"",Y7-Z7)</x:f>
      </x:c>
      <x:c r="AB7" s="52" t="str">
        <x:f>IF(OR(Y7="",Z7=""),"",IFERROR(Z7/Y7,0))</x:f>
      </x:c>
      <x:c r="AC7" s="36" t="str">
        <x:f>IF(H7="","",H7)</x:f>
      </x:c>
      <x:c r="AD7" s="132" t="str">
        <x:f>IF(I7="","",I7)</x:f>
      </x:c>
      <x:c r="AE7" s="36" t="str">
        <x:f>IF(J7="","",J7)</x:f>
      </x:c>
      <x:c r="AF7" s="36" t="str">
        <x:f>IF(K7="","",K7)</x:f>
      </x:c>
      <x:c r="AG7" s="36" t="str">
        <x:f>IF(L7="","",L7)</x:f>
      </x:c>
      <x:c r="AH7" s="36" t="str">
        <x:f>IF(M7="","",M7)</x:f>
      </x:c>
      <x:c r="AI7" s="36" t="str">
        <x:f>IF(N7="","",N7)</x:f>
      </x:c>
      <x:c r="AJ7" s="36" t="str">
        <x:f>IF(O7="","",O7)</x:f>
      </x:c>
      <x:c r="AK7" s="36" t="str">
        <x:f>IF(P7="","",P7)</x:f>
      </x:c>
      <x:c r="AL7" s="36" t="str">
        <x:f>IF(R7="","",TEXT(R7,"yyyymmddhhmmss")&amp;"-"&amp;S7&amp;"-"&amp;TEXT(ROW()-4,"0000"))</x:f>
      </x:c>
      <x:c r="AM7" s="36" t="str">
        <x:f>IF(R7="","",IF(T7="KOD HATALI","Öğrenci Kodu Hatalı",IF(OR(V7="",W7="",X7="",Y7="",Z7="",AF7="",AG7="",AJ7="",AK7=""),"Eksik Zorunlu Alan",IF(OR(Y7&lt;0,Z7&lt;0,Z7&gt;Y7),"Soru Sayısı Hatası",IF(AND(AD7&lt;&gt;"",AD7&lt;V7),"Ödev Tarihi Hatası",IF(COUNTIF($AL$5:AL7,AL7)&gt;1,"Mükerrer Form Kaydı","Aktarıma Hazır"))))))</x:f>
      </x:c>
      <x:c r="AN7" s="30"/>
      <x:c r="AO7" s="40"/>
      <x:c r="AP7" s="30"/>
    </x:row>
    <x:row r="8">
      <x:c r="A8" s="158"/>
      <x:c r="B8" s="44"/>
      <x:c r="C8" s="40"/>
      <x:c r="D8" s="30"/>
      <x:c r="E8" s="30"/>
      <x:c r="F8" s="30"/>
      <x:c r="G8" s="30"/>
      <x:c r="H8" s="30"/>
      <x:c r="I8" s="40"/>
      <x:c r="J8" s="30"/>
      <x:c r="K8" s="30"/>
      <x:c r="L8" s="30"/>
      <x:c r="M8" s="30"/>
      <x:c r="N8" s="30"/>
      <x:c r="O8" s="30"/>
      <x:c r="P8" s="30"/>
      <x:c r="R8" s="160" t="str">
        <x:f>IF(A8="","",A8)</x:f>
      </x:c>
      <x:c r="S8" s="126" t="str">
        <x:f>IF(B8="","",B8)</x:f>
      </x:c>
      <x:c r="T8" s="36" t="str">
        <x:f>IF(S8="","",IFERROR(INDEX('02_Öğrenciler'!$B$5:$B$203,MATCH(S8,'02_Öğrenciler'!$A$5:$A$203,0)),"KOD HATALI"))</x:f>
      </x:c>
      <x:c r="U8" s="36" t="str">
        <x:f>IF(S8="","",IFERROR(INDEX('02_Öğrenciler'!$C$5:$C$203,MATCH(S8,'02_Öğrenciler'!$A$5:$A$203,0)),""))</x:f>
      </x:c>
      <x:c r="V8" s="132" t="str">
        <x:f>IF(C8="","",C8)</x:f>
      </x:c>
      <x:c r="W8" s="36" t="str">
        <x:f>IF(D8="","",D8)</x:f>
      </x:c>
      <x:c r="X8" s="36" t="str">
        <x:f>IF(E8="","",E8)</x:f>
      </x:c>
      <x:c r="Y8" s="36" t="str">
        <x:f>IF(F8="","",F8)</x:f>
      </x:c>
      <x:c r="Z8" s="36" t="str">
        <x:f>IF(G8="","",G8)</x:f>
      </x:c>
      <x:c r="AA8" s="36" t="str">
        <x:f>IF(OR(Y8="",Z8=""),"",Y8-Z8)</x:f>
      </x:c>
      <x:c r="AB8" s="52" t="str">
        <x:f>IF(OR(Y8="",Z8=""),"",IFERROR(Z8/Y8,0))</x:f>
      </x:c>
      <x:c r="AC8" s="36" t="str">
        <x:f>IF(H8="","",H8)</x:f>
      </x:c>
      <x:c r="AD8" s="132" t="str">
        <x:f>IF(I8="","",I8)</x:f>
      </x:c>
      <x:c r="AE8" s="36" t="str">
        <x:f>IF(J8="","",J8)</x:f>
      </x:c>
      <x:c r="AF8" s="36" t="str">
        <x:f>IF(K8="","",K8)</x:f>
      </x:c>
      <x:c r="AG8" s="36" t="str">
        <x:f>IF(L8="","",L8)</x:f>
      </x:c>
      <x:c r="AH8" s="36" t="str">
        <x:f>IF(M8="","",M8)</x:f>
      </x:c>
      <x:c r="AI8" s="36" t="str">
        <x:f>IF(N8="","",N8)</x:f>
      </x:c>
      <x:c r="AJ8" s="36" t="str">
        <x:f>IF(O8="","",O8)</x:f>
      </x:c>
      <x:c r="AK8" s="36" t="str">
        <x:f>IF(P8="","",P8)</x:f>
      </x:c>
      <x:c r="AL8" s="36" t="str">
        <x:f>IF(R8="","",TEXT(R8,"yyyymmddhhmmss")&amp;"-"&amp;S8&amp;"-"&amp;TEXT(ROW()-4,"0000"))</x:f>
      </x:c>
      <x:c r="AM8" s="36" t="str">
        <x:f>IF(R8="","",IF(T8="KOD HATALI","Öğrenci Kodu Hatalı",IF(OR(V8="",W8="",X8="",Y8="",Z8="",AF8="",AG8="",AJ8="",AK8=""),"Eksik Zorunlu Alan",IF(OR(Y8&lt;0,Z8&lt;0,Z8&gt;Y8),"Soru Sayısı Hatası",IF(AND(AD8&lt;&gt;"",AD8&lt;V8),"Ödev Tarihi Hatası",IF(COUNTIF($AL$5:AL8,AL8)&gt;1,"Mükerrer Form Kaydı","Aktarıma Hazır"))))))</x:f>
      </x:c>
      <x:c r="AN8" s="30"/>
      <x:c r="AO8" s="40"/>
      <x:c r="AP8" s="30"/>
    </x:row>
    <x:row r="9">
      <x:c r="A9" s="158"/>
      <x:c r="B9" s="44"/>
      <x:c r="C9" s="40"/>
      <x:c r="D9" s="30"/>
      <x:c r="E9" s="30"/>
      <x:c r="F9" s="30"/>
      <x:c r="G9" s="30"/>
      <x:c r="H9" s="30"/>
      <x:c r="I9" s="40"/>
      <x:c r="J9" s="30"/>
      <x:c r="K9" s="30"/>
      <x:c r="L9" s="30"/>
      <x:c r="M9" s="30"/>
      <x:c r="N9" s="30"/>
      <x:c r="O9" s="30"/>
      <x:c r="P9" s="30"/>
      <x:c r="R9" s="160" t="str">
        <x:f>IF(A9="","",A9)</x:f>
      </x:c>
      <x:c r="S9" s="126" t="str">
        <x:f>IF(B9="","",B9)</x:f>
      </x:c>
      <x:c r="T9" s="36" t="str">
        <x:f>IF(S9="","",IFERROR(INDEX('02_Öğrenciler'!$B$5:$B$203,MATCH(S9,'02_Öğrenciler'!$A$5:$A$203,0)),"KOD HATALI"))</x:f>
      </x:c>
      <x:c r="U9" s="36" t="str">
        <x:f>IF(S9="","",IFERROR(INDEX('02_Öğrenciler'!$C$5:$C$203,MATCH(S9,'02_Öğrenciler'!$A$5:$A$203,0)),""))</x:f>
      </x:c>
      <x:c r="V9" s="132" t="str">
        <x:f>IF(C9="","",C9)</x:f>
      </x:c>
      <x:c r="W9" s="36" t="str">
        <x:f>IF(D9="","",D9)</x:f>
      </x:c>
      <x:c r="X9" s="36" t="str">
        <x:f>IF(E9="","",E9)</x:f>
      </x:c>
      <x:c r="Y9" s="36" t="str">
        <x:f>IF(F9="","",F9)</x:f>
      </x:c>
      <x:c r="Z9" s="36" t="str">
        <x:f>IF(G9="","",G9)</x:f>
      </x:c>
      <x:c r="AA9" s="36" t="str">
        <x:f>IF(OR(Y9="",Z9=""),"",Y9-Z9)</x:f>
      </x:c>
      <x:c r="AB9" s="52" t="str">
        <x:f>IF(OR(Y9="",Z9=""),"",IFERROR(Z9/Y9,0))</x:f>
      </x:c>
      <x:c r="AC9" s="36" t="str">
        <x:f>IF(H9="","",H9)</x:f>
      </x:c>
      <x:c r="AD9" s="132" t="str">
        <x:f>IF(I9="","",I9)</x:f>
      </x:c>
      <x:c r="AE9" s="36" t="str">
        <x:f>IF(J9="","",J9)</x:f>
      </x:c>
      <x:c r="AF9" s="36" t="str">
        <x:f>IF(K9="","",K9)</x:f>
      </x:c>
      <x:c r="AG9" s="36" t="str">
        <x:f>IF(L9="","",L9)</x:f>
      </x:c>
      <x:c r="AH9" s="36" t="str">
        <x:f>IF(M9="","",M9)</x:f>
      </x:c>
      <x:c r="AI9" s="36" t="str">
        <x:f>IF(N9="","",N9)</x:f>
      </x:c>
      <x:c r="AJ9" s="36" t="str">
        <x:f>IF(O9="","",O9)</x:f>
      </x:c>
      <x:c r="AK9" s="36" t="str">
        <x:f>IF(P9="","",P9)</x:f>
      </x:c>
      <x:c r="AL9" s="36" t="str">
        <x:f>IF(R9="","",TEXT(R9,"yyyymmddhhmmss")&amp;"-"&amp;S9&amp;"-"&amp;TEXT(ROW()-4,"0000"))</x:f>
      </x:c>
      <x:c r="AM9" s="36" t="str">
        <x:f>IF(R9="","",IF(T9="KOD HATALI","Öğrenci Kodu Hatalı",IF(OR(V9="",W9="",X9="",Y9="",Z9="",AF9="",AG9="",AJ9="",AK9=""),"Eksik Zorunlu Alan",IF(OR(Y9&lt;0,Z9&lt;0,Z9&gt;Y9),"Soru Sayısı Hatası",IF(AND(AD9&lt;&gt;"",AD9&lt;V9),"Ödev Tarihi Hatası",IF(COUNTIF($AL$5:AL9,AL9)&gt;1,"Mükerrer Form Kaydı","Aktarıma Hazır"))))))</x:f>
      </x:c>
      <x:c r="AN9" s="30"/>
      <x:c r="AO9" s="40"/>
      <x:c r="AP9" s="30"/>
    </x:row>
    <x:row r="10">
      <x:c r="A10" s="158"/>
      <x:c r="B10" s="44"/>
      <x:c r="C10" s="40"/>
      <x:c r="D10" s="30"/>
      <x:c r="E10" s="30"/>
      <x:c r="F10" s="30"/>
      <x:c r="G10" s="30"/>
      <x:c r="H10" s="30"/>
      <x:c r="I10" s="40"/>
      <x:c r="J10" s="30"/>
      <x:c r="K10" s="30"/>
      <x:c r="L10" s="30"/>
      <x:c r="M10" s="30"/>
      <x:c r="N10" s="30"/>
      <x:c r="O10" s="30"/>
      <x:c r="P10" s="30"/>
      <x:c r="R10" s="160" t="str">
        <x:f>IF(A10="","",A10)</x:f>
      </x:c>
      <x:c r="S10" s="126" t="str">
        <x:f>IF(B10="","",B10)</x:f>
      </x:c>
      <x:c r="T10" s="36" t="str">
        <x:f>IF(S10="","",IFERROR(INDEX('02_Öğrenciler'!$B$5:$B$203,MATCH(S10,'02_Öğrenciler'!$A$5:$A$203,0)),"KOD HATALI"))</x:f>
      </x:c>
      <x:c r="U10" s="36" t="str">
        <x:f>IF(S10="","",IFERROR(INDEX('02_Öğrenciler'!$C$5:$C$203,MATCH(S10,'02_Öğrenciler'!$A$5:$A$203,0)),""))</x:f>
      </x:c>
      <x:c r="V10" s="132" t="str">
        <x:f>IF(C10="","",C10)</x:f>
      </x:c>
      <x:c r="W10" s="36" t="str">
        <x:f>IF(D10="","",D10)</x:f>
      </x:c>
      <x:c r="X10" s="36" t="str">
        <x:f>IF(E10="","",E10)</x:f>
      </x:c>
      <x:c r="Y10" s="36" t="str">
        <x:f>IF(F10="","",F10)</x:f>
      </x:c>
      <x:c r="Z10" s="36" t="str">
        <x:f>IF(G10="","",G10)</x:f>
      </x:c>
      <x:c r="AA10" s="36" t="str">
        <x:f>IF(OR(Y10="",Z10=""),"",Y10-Z10)</x:f>
      </x:c>
      <x:c r="AB10" s="52" t="str">
        <x:f>IF(OR(Y10="",Z10=""),"",IFERROR(Z10/Y10,0))</x:f>
      </x:c>
      <x:c r="AC10" s="36" t="str">
        <x:f>IF(H10="","",H10)</x:f>
      </x:c>
      <x:c r="AD10" s="132" t="str">
        <x:f>IF(I10="","",I10)</x:f>
      </x:c>
      <x:c r="AE10" s="36" t="str">
        <x:f>IF(J10="","",J10)</x:f>
      </x:c>
      <x:c r="AF10" s="36" t="str">
        <x:f>IF(K10="","",K10)</x:f>
      </x:c>
      <x:c r="AG10" s="36" t="str">
        <x:f>IF(L10="","",L10)</x:f>
      </x:c>
      <x:c r="AH10" s="36" t="str">
        <x:f>IF(M10="","",M10)</x:f>
      </x:c>
      <x:c r="AI10" s="36" t="str">
        <x:f>IF(N10="","",N10)</x:f>
      </x:c>
      <x:c r="AJ10" s="36" t="str">
        <x:f>IF(O10="","",O10)</x:f>
      </x:c>
      <x:c r="AK10" s="36" t="str">
        <x:f>IF(P10="","",P10)</x:f>
      </x:c>
      <x:c r="AL10" s="36" t="str">
        <x:f>IF(R10="","",TEXT(R10,"yyyymmddhhmmss")&amp;"-"&amp;S10&amp;"-"&amp;TEXT(ROW()-4,"0000"))</x:f>
      </x:c>
      <x:c r="AM10" s="36" t="str">
        <x:f>IF(R10="","",IF(T10="KOD HATALI","Öğrenci Kodu Hatalı",IF(OR(V10="",W10="",X10="",Y10="",Z10="",AF10="",AG10="",AJ10="",AK10=""),"Eksik Zorunlu Alan",IF(OR(Y10&lt;0,Z10&lt;0,Z10&gt;Y10),"Soru Sayısı Hatası",IF(AND(AD10&lt;&gt;"",AD10&lt;V10),"Ödev Tarihi Hatası",IF(COUNTIF($AL$5:AL10,AL10)&gt;1,"Mükerrer Form Kaydı","Aktarıma Hazır"))))))</x:f>
      </x:c>
      <x:c r="AN10" s="30"/>
      <x:c r="AO10" s="40"/>
      <x:c r="AP10" s="30"/>
    </x:row>
    <x:row r="11">
      <x:c r="A11" s="158"/>
      <x:c r="B11" s="44"/>
      <x:c r="C11" s="40"/>
      <x:c r="D11" s="30"/>
      <x:c r="E11" s="30"/>
      <x:c r="F11" s="30"/>
      <x:c r="G11" s="30"/>
      <x:c r="H11" s="30"/>
      <x:c r="I11" s="40"/>
      <x:c r="J11" s="30"/>
      <x:c r="K11" s="30"/>
      <x:c r="L11" s="30"/>
      <x:c r="M11" s="30"/>
      <x:c r="N11" s="30"/>
      <x:c r="O11" s="30"/>
      <x:c r="P11" s="30"/>
      <x:c r="R11" s="160" t="str">
        <x:f>IF(A11="","",A11)</x:f>
      </x:c>
      <x:c r="S11" s="126" t="str">
        <x:f>IF(B11="","",B11)</x:f>
      </x:c>
      <x:c r="T11" s="36" t="str">
        <x:f>IF(S11="","",IFERROR(INDEX('02_Öğrenciler'!$B$5:$B$203,MATCH(S11,'02_Öğrenciler'!$A$5:$A$203,0)),"KOD HATALI"))</x:f>
      </x:c>
      <x:c r="U11" s="36" t="str">
        <x:f>IF(S11="","",IFERROR(INDEX('02_Öğrenciler'!$C$5:$C$203,MATCH(S11,'02_Öğrenciler'!$A$5:$A$203,0)),""))</x:f>
      </x:c>
      <x:c r="V11" s="132" t="str">
        <x:f>IF(C11="","",C11)</x:f>
      </x:c>
      <x:c r="W11" s="36" t="str">
        <x:f>IF(D11="","",D11)</x:f>
      </x:c>
      <x:c r="X11" s="36" t="str">
        <x:f>IF(E11="","",E11)</x:f>
      </x:c>
      <x:c r="Y11" s="36" t="str">
        <x:f>IF(F11="","",F11)</x:f>
      </x:c>
      <x:c r="Z11" s="36" t="str">
        <x:f>IF(G11="","",G11)</x:f>
      </x:c>
      <x:c r="AA11" s="36" t="str">
        <x:f>IF(OR(Y11="",Z11=""),"",Y11-Z11)</x:f>
      </x:c>
      <x:c r="AB11" s="52" t="str">
        <x:f>IF(OR(Y11="",Z11=""),"",IFERROR(Z11/Y11,0))</x:f>
      </x:c>
      <x:c r="AC11" s="36" t="str">
        <x:f>IF(H11="","",H11)</x:f>
      </x:c>
      <x:c r="AD11" s="132" t="str">
        <x:f>IF(I11="","",I11)</x:f>
      </x:c>
      <x:c r="AE11" s="36" t="str">
        <x:f>IF(J11="","",J11)</x:f>
      </x:c>
      <x:c r="AF11" s="36" t="str">
        <x:f>IF(K11="","",K11)</x:f>
      </x:c>
      <x:c r="AG11" s="36" t="str">
        <x:f>IF(L11="","",L11)</x:f>
      </x:c>
      <x:c r="AH11" s="36" t="str">
        <x:f>IF(M11="","",M11)</x:f>
      </x:c>
      <x:c r="AI11" s="36" t="str">
        <x:f>IF(N11="","",N11)</x:f>
      </x:c>
      <x:c r="AJ11" s="36" t="str">
        <x:f>IF(O11="","",O11)</x:f>
      </x:c>
      <x:c r="AK11" s="36" t="str">
        <x:f>IF(P11="","",P11)</x:f>
      </x:c>
      <x:c r="AL11" s="36" t="str">
        <x:f>IF(R11="","",TEXT(R11,"yyyymmddhhmmss")&amp;"-"&amp;S11&amp;"-"&amp;TEXT(ROW()-4,"0000"))</x:f>
      </x:c>
      <x:c r="AM11" s="36" t="str">
        <x:f>IF(R11="","",IF(T11="KOD HATALI","Öğrenci Kodu Hatalı",IF(OR(V11="",W11="",X11="",Y11="",Z11="",AF11="",AG11="",AJ11="",AK11=""),"Eksik Zorunlu Alan",IF(OR(Y11&lt;0,Z11&lt;0,Z11&gt;Y11),"Soru Sayısı Hatası",IF(AND(AD11&lt;&gt;"",AD11&lt;V11),"Ödev Tarihi Hatası",IF(COUNTIF($AL$5:AL11,AL11)&gt;1,"Mükerrer Form Kaydı","Aktarıma Hazır"))))))</x:f>
      </x:c>
      <x:c r="AN11" s="30"/>
      <x:c r="AO11" s="40"/>
      <x:c r="AP11" s="30"/>
    </x:row>
    <x:row r="12">
      <x:c r="A12" s="158"/>
      <x:c r="B12" s="44"/>
      <x:c r="C12" s="40"/>
      <x:c r="D12" s="30"/>
      <x:c r="E12" s="30"/>
      <x:c r="F12" s="30"/>
      <x:c r="G12" s="30"/>
      <x:c r="H12" s="30"/>
      <x:c r="I12" s="40"/>
      <x:c r="J12" s="30"/>
      <x:c r="K12" s="30"/>
      <x:c r="L12" s="30"/>
      <x:c r="M12" s="30"/>
      <x:c r="N12" s="30"/>
      <x:c r="O12" s="30"/>
      <x:c r="P12" s="30"/>
      <x:c r="R12" s="160" t="str">
        <x:f>IF(A12="","",A12)</x:f>
      </x:c>
      <x:c r="S12" s="126" t="str">
        <x:f>IF(B12="","",B12)</x:f>
      </x:c>
      <x:c r="T12" s="36" t="str">
        <x:f>IF(S12="","",IFERROR(INDEX('02_Öğrenciler'!$B$5:$B$203,MATCH(S12,'02_Öğrenciler'!$A$5:$A$203,0)),"KOD HATALI"))</x:f>
      </x:c>
      <x:c r="U12" s="36" t="str">
        <x:f>IF(S12="","",IFERROR(INDEX('02_Öğrenciler'!$C$5:$C$203,MATCH(S12,'02_Öğrenciler'!$A$5:$A$203,0)),""))</x:f>
      </x:c>
      <x:c r="V12" s="132" t="str">
        <x:f>IF(C12="","",C12)</x:f>
      </x:c>
      <x:c r="W12" s="36" t="str">
        <x:f>IF(D12="","",D12)</x:f>
      </x:c>
      <x:c r="X12" s="36" t="str">
        <x:f>IF(E12="","",E12)</x:f>
      </x:c>
      <x:c r="Y12" s="36" t="str">
        <x:f>IF(F12="","",F12)</x:f>
      </x:c>
      <x:c r="Z12" s="36" t="str">
        <x:f>IF(G12="","",G12)</x:f>
      </x:c>
      <x:c r="AA12" s="36" t="str">
        <x:f>IF(OR(Y12="",Z12=""),"",Y12-Z12)</x:f>
      </x:c>
      <x:c r="AB12" s="52" t="str">
        <x:f>IF(OR(Y12="",Z12=""),"",IFERROR(Z12/Y12,0))</x:f>
      </x:c>
      <x:c r="AC12" s="36" t="str">
        <x:f>IF(H12="","",H12)</x:f>
      </x:c>
      <x:c r="AD12" s="132" t="str">
        <x:f>IF(I12="","",I12)</x:f>
      </x:c>
      <x:c r="AE12" s="36" t="str">
        <x:f>IF(J12="","",J12)</x:f>
      </x:c>
      <x:c r="AF12" s="36" t="str">
        <x:f>IF(K12="","",K12)</x:f>
      </x:c>
      <x:c r="AG12" s="36" t="str">
        <x:f>IF(L12="","",L12)</x:f>
      </x:c>
      <x:c r="AH12" s="36" t="str">
        <x:f>IF(M12="","",M12)</x:f>
      </x:c>
      <x:c r="AI12" s="36" t="str">
        <x:f>IF(N12="","",N12)</x:f>
      </x:c>
      <x:c r="AJ12" s="36" t="str">
        <x:f>IF(O12="","",O12)</x:f>
      </x:c>
      <x:c r="AK12" s="36" t="str">
        <x:f>IF(P12="","",P12)</x:f>
      </x:c>
      <x:c r="AL12" s="36" t="str">
        <x:f>IF(R12="","",TEXT(R12,"yyyymmddhhmmss")&amp;"-"&amp;S12&amp;"-"&amp;TEXT(ROW()-4,"0000"))</x:f>
      </x:c>
      <x:c r="AM12" s="36" t="str">
        <x:f>IF(R12="","",IF(T12="KOD HATALI","Öğrenci Kodu Hatalı",IF(OR(V12="",W12="",X12="",Y12="",Z12="",AF12="",AG12="",AJ12="",AK12=""),"Eksik Zorunlu Alan",IF(OR(Y12&lt;0,Z12&lt;0,Z12&gt;Y12),"Soru Sayısı Hatası",IF(AND(AD12&lt;&gt;"",AD12&lt;V12),"Ödev Tarihi Hatası",IF(COUNTIF($AL$5:AL12,AL12)&gt;1,"Mükerrer Form Kaydı","Aktarıma Hazır"))))))</x:f>
      </x:c>
      <x:c r="AN12" s="30"/>
      <x:c r="AO12" s="40"/>
      <x:c r="AP12" s="30"/>
    </x:row>
    <x:row r="13">
      <x:c r="A13" s="158"/>
      <x:c r="B13" s="44"/>
      <x:c r="C13" s="40"/>
      <x:c r="D13" s="30"/>
      <x:c r="E13" s="30"/>
      <x:c r="F13" s="30"/>
      <x:c r="G13" s="30"/>
      <x:c r="H13" s="30"/>
      <x:c r="I13" s="40"/>
      <x:c r="J13" s="30"/>
      <x:c r="K13" s="30"/>
      <x:c r="L13" s="30"/>
      <x:c r="M13" s="30"/>
      <x:c r="N13" s="30"/>
      <x:c r="O13" s="30"/>
      <x:c r="P13" s="30"/>
      <x:c r="R13" s="160" t="str">
        <x:f>IF(A13="","",A13)</x:f>
      </x:c>
      <x:c r="S13" s="126" t="str">
        <x:f>IF(B13="","",B13)</x:f>
      </x:c>
      <x:c r="T13" s="36" t="str">
        <x:f>IF(S13="","",IFERROR(INDEX('02_Öğrenciler'!$B$5:$B$203,MATCH(S13,'02_Öğrenciler'!$A$5:$A$203,0)),"KOD HATALI"))</x:f>
      </x:c>
      <x:c r="U13" s="36" t="str">
        <x:f>IF(S13="","",IFERROR(INDEX('02_Öğrenciler'!$C$5:$C$203,MATCH(S13,'02_Öğrenciler'!$A$5:$A$203,0)),""))</x:f>
      </x:c>
      <x:c r="V13" s="132" t="str">
        <x:f>IF(C13="","",C13)</x:f>
      </x:c>
      <x:c r="W13" s="36" t="str">
        <x:f>IF(D13="","",D13)</x:f>
      </x:c>
      <x:c r="X13" s="36" t="str">
        <x:f>IF(E13="","",E13)</x:f>
      </x:c>
      <x:c r="Y13" s="36" t="str">
        <x:f>IF(F13="","",F13)</x:f>
      </x:c>
      <x:c r="Z13" s="36" t="str">
        <x:f>IF(G13="","",G13)</x:f>
      </x:c>
      <x:c r="AA13" s="36" t="str">
        <x:f>IF(OR(Y13="",Z13=""),"",Y13-Z13)</x:f>
      </x:c>
      <x:c r="AB13" s="52" t="str">
        <x:f>IF(OR(Y13="",Z13=""),"",IFERROR(Z13/Y13,0))</x:f>
      </x:c>
      <x:c r="AC13" s="36" t="str">
        <x:f>IF(H13="","",H13)</x:f>
      </x:c>
      <x:c r="AD13" s="132" t="str">
        <x:f>IF(I13="","",I13)</x:f>
      </x:c>
      <x:c r="AE13" s="36" t="str">
        <x:f>IF(J13="","",J13)</x:f>
      </x:c>
      <x:c r="AF13" s="36" t="str">
        <x:f>IF(K13="","",K13)</x:f>
      </x:c>
      <x:c r="AG13" s="36" t="str">
        <x:f>IF(L13="","",L13)</x:f>
      </x:c>
      <x:c r="AH13" s="36" t="str">
        <x:f>IF(M13="","",M13)</x:f>
      </x:c>
      <x:c r="AI13" s="36" t="str">
        <x:f>IF(N13="","",N13)</x:f>
      </x:c>
      <x:c r="AJ13" s="36" t="str">
        <x:f>IF(O13="","",O13)</x:f>
      </x:c>
      <x:c r="AK13" s="36" t="str">
        <x:f>IF(P13="","",P13)</x:f>
      </x:c>
      <x:c r="AL13" s="36" t="str">
        <x:f>IF(R13="","",TEXT(R13,"yyyymmddhhmmss")&amp;"-"&amp;S13&amp;"-"&amp;TEXT(ROW()-4,"0000"))</x:f>
      </x:c>
      <x:c r="AM13" s="36" t="str">
        <x:f>IF(R13="","",IF(T13="KOD HATALI","Öğrenci Kodu Hatalı",IF(OR(V13="",W13="",X13="",Y13="",Z13="",AF13="",AG13="",AJ13="",AK13=""),"Eksik Zorunlu Alan",IF(OR(Y13&lt;0,Z13&lt;0,Z13&gt;Y13),"Soru Sayısı Hatası",IF(AND(AD13&lt;&gt;"",AD13&lt;V13),"Ödev Tarihi Hatası",IF(COUNTIF($AL$5:AL13,AL13)&gt;1,"Mükerrer Form Kaydı","Aktarıma Hazır"))))))</x:f>
      </x:c>
      <x:c r="AN13" s="30"/>
      <x:c r="AO13" s="40"/>
      <x:c r="AP13" s="30"/>
    </x:row>
    <x:row r="14">
      <x:c r="A14" s="158"/>
      <x:c r="B14" s="44"/>
      <x:c r="C14" s="40"/>
      <x:c r="D14" s="30"/>
      <x:c r="E14" s="30"/>
      <x:c r="F14" s="30"/>
      <x:c r="G14" s="30"/>
      <x:c r="H14" s="30"/>
      <x:c r="I14" s="40"/>
      <x:c r="J14" s="30"/>
      <x:c r="K14" s="30"/>
      <x:c r="L14" s="30"/>
      <x:c r="M14" s="30"/>
      <x:c r="N14" s="30"/>
      <x:c r="O14" s="30"/>
      <x:c r="P14" s="30"/>
      <x:c r="R14" s="160" t="str">
        <x:f>IF(A14="","",A14)</x:f>
      </x:c>
      <x:c r="S14" s="126" t="str">
        <x:f>IF(B14="","",B14)</x:f>
      </x:c>
      <x:c r="T14" s="36" t="str">
        <x:f>IF(S14="","",IFERROR(INDEX('02_Öğrenciler'!$B$5:$B$203,MATCH(S14,'02_Öğrenciler'!$A$5:$A$203,0)),"KOD HATALI"))</x:f>
      </x:c>
      <x:c r="U14" s="36" t="str">
        <x:f>IF(S14="","",IFERROR(INDEX('02_Öğrenciler'!$C$5:$C$203,MATCH(S14,'02_Öğrenciler'!$A$5:$A$203,0)),""))</x:f>
      </x:c>
      <x:c r="V14" s="132" t="str">
        <x:f>IF(C14="","",C14)</x:f>
      </x:c>
      <x:c r="W14" s="36" t="str">
        <x:f>IF(D14="","",D14)</x:f>
      </x:c>
      <x:c r="X14" s="36" t="str">
        <x:f>IF(E14="","",E14)</x:f>
      </x:c>
      <x:c r="Y14" s="36" t="str">
        <x:f>IF(F14="","",F14)</x:f>
      </x:c>
      <x:c r="Z14" s="36" t="str">
        <x:f>IF(G14="","",G14)</x:f>
      </x:c>
      <x:c r="AA14" s="36" t="str">
        <x:f>IF(OR(Y14="",Z14=""),"",Y14-Z14)</x:f>
      </x:c>
      <x:c r="AB14" s="52" t="str">
        <x:f>IF(OR(Y14="",Z14=""),"",IFERROR(Z14/Y14,0))</x:f>
      </x:c>
      <x:c r="AC14" s="36" t="str">
        <x:f>IF(H14="","",H14)</x:f>
      </x:c>
      <x:c r="AD14" s="132" t="str">
        <x:f>IF(I14="","",I14)</x:f>
      </x:c>
      <x:c r="AE14" s="36" t="str">
        <x:f>IF(J14="","",J14)</x:f>
      </x:c>
      <x:c r="AF14" s="36" t="str">
        <x:f>IF(K14="","",K14)</x:f>
      </x:c>
      <x:c r="AG14" s="36" t="str">
        <x:f>IF(L14="","",L14)</x:f>
      </x:c>
      <x:c r="AH14" s="36" t="str">
        <x:f>IF(M14="","",M14)</x:f>
      </x:c>
      <x:c r="AI14" s="36" t="str">
        <x:f>IF(N14="","",N14)</x:f>
      </x:c>
      <x:c r="AJ14" s="36" t="str">
        <x:f>IF(O14="","",O14)</x:f>
      </x:c>
      <x:c r="AK14" s="36" t="str">
        <x:f>IF(P14="","",P14)</x:f>
      </x:c>
      <x:c r="AL14" s="36" t="str">
        <x:f>IF(R14="","",TEXT(R14,"yyyymmddhhmmss")&amp;"-"&amp;S14&amp;"-"&amp;TEXT(ROW()-4,"0000"))</x:f>
      </x:c>
      <x:c r="AM14" s="36" t="str">
        <x:f>IF(R14="","",IF(T14="KOD HATALI","Öğrenci Kodu Hatalı",IF(OR(V14="",W14="",X14="",Y14="",Z14="",AF14="",AG14="",AJ14="",AK14=""),"Eksik Zorunlu Alan",IF(OR(Y14&lt;0,Z14&lt;0,Z14&gt;Y14),"Soru Sayısı Hatası",IF(AND(AD14&lt;&gt;"",AD14&lt;V14),"Ödev Tarihi Hatası",IF(COUNTIF($AL$5:AL14,AL14)&gt;1,"Mükerrer Form Kaydı","Aktarıma Hazır"))))))</x:f>
      </x:c>
      <x:c r="AN14" s="30"/>
      <x:c r="AO14" s="40"/>
      <x:c r="AP14" s="30"/>
    </x:row>
    <x:row r="15">
      <x:c r="A15" s="158"/>
      <x:c r="B15" s="44"/>
      <x:c r="C15" s="40"/>
      <x:c r="D15" s="30"/>
      <x:c r="E15" s="30"/>
      <x:c r="F15" s="30"/>
      <x:c r="G15" s="30"/>
      <x:c r="H15" s="30"/>
      <x:c r="I15" s="40"/>
      <x:c r="J15" s="30"/>
      <x:c r="K15" s="30"/>
      <x:c r="L15" s="30"/>
      <x:c r="M15" s="30"/>
      <x:c r="N15" s="30"/>
      <x:c r="O15" s="30"/>
      <x:c r="P15" s="30"/>
      <x:c r="R15" s="160" t="str">
        <x:f>IF(A15="","",A15)</x:f>
      </x:c>
      <x:c r="S15" s="126" t="str">
        <x:f>IF(B15="","",B15)</x:f>
      </x:c>
      <x:c r="T15" s="36" t="str">
        <x:f>IF(S15="","",IFERROR(INDEX('02_Öğrenciler'!$B$5:$B$203,MATCH(S15,'02_Öğrenciler'!$A$5:$A$203,0)),"KOD HATALI"))</x:f>
      </x:c>
      <x:c r="U15" s="36" t="str">
        <x:f>IF(S15="","",IFERROR(INDEX('02_Öğrenciler'!$C$5:$C$203,MATCH(S15,'02_Öğrenciler'!$A$5:$A$203,0)),""))</x:f>
      </x:c>
      <x:c r="V15" s="132" t="str">
        <x:f>IF(C15="","",C15)</x:f>
      </x:c>
      <x:c r="W15" s="36" t="str">
        <x:f>IF(D15="","",D15)</x:f>
      </x:c>
      <x:c r="X15" s="36" t="str">
        <x:f>IF(E15="","",E15)</x:f>
      </x:c>
      <x:c r="Y15" s="36" t="str">
        <x:f>IF(F15="","",F15)</x:f>
      </x:c>
      <x:c r="Z15" s="36" t="str">
        <x:f>IF(G15="","",G15)</x:f>
      </x:c>
      <x:c r="AA15" s="36" t="str">
        <x:f>IF(OR(Y15="",Z15=""),"",Y15-Z15)</x:f>
      </x:c>
      <x:c r="AB15" s="52" t="str">
        <x:f>IF(OR(Y15="",Z15=""),"",IFERROR(Z15/Y15,0))</x:f>
      </x:c>
      <x:c r="AC15" s="36" t="str">
        <x:f>IF(H15="","",H15)</x:f>
      </x:c>
      <x:c r="AD15" s="132" t="str">
        <x:f>IF(I15="","",I15)</x:f>
      </x:c>
      <x:c r="AE15" s="36" t="str">
        <x:f>IF(J15="","",J15)</x:f>
      </x:c>
      <x:c r="AF15" s="36" t="str">
        <x:f>IF(K15="","",K15)</x:f>
      </x:c>
      <x:c r="AG15" s="36" t="str">
        <x:f>IF(L15="","",L15)</x:f>
      </x:c>
      <x:c r="AH15" s="36" t="str">
        <x:f>IF(M15="","",M15)</x:f>
      </x:c>
      <x:c r="AI15" s="36" t="str">
        <x:f>IF(N15="","",N15)</x:f>
      </x:c>
      <x:c r="AJ15" s="36" t="str">
        <x:f>IF(O15="","",O15)</x:f>
      </x:c>
      <x:c r="AK15" s="36" t="str">
        <x:f>IF(P15="","",P15)</x:f>
      </x:c>
      <x:c r="AL15" s="36" t="str">
        <x:f>IF(R15="","",TEXT(R15,"yyyymmddhhmmss")&amp;"-"&amp;S15&amp;"-"&amp;TEXT(ROW()-4,"0000"))</x:f>
      </x:c>
      <x:c r="AM15" s="36" t="str">
        <x:f>IF(R15="","",IF(T15="KOD HATALI","Öğrenci Kodu Hatalı",IF(OR(V15="",W15="",X15="",Y15="",Z15="",AF15="",AG15="",AJ15="",AK15=""),"Eksik Zorunlu Alan",IF(OR(Y15&lt;0,Z15&lt;0,Z15&gt;Y15),"Soru Sayısı Hatası",IF(AND(AD15&lt;&gt;"",AD15&lt;V15),"Ödev Tarihi Hatası",IF(COUNTIF($AL$5:AL15,AL15)&gt;1,"Mükerrer Form Kaydı","Aktarıma Hazır"))))))</x:f>
      </x:c>
      <x:c r="AN15" s="30"/>
      <x:c r="AO15" s="40"/>
      <x:c r="AP15" s="30"/>
    </x:row>
    <x:row r="16">
      <x:c r="A16" s="158"/>
      <x:c r="B16" s="44"/>
      <x:c r="C16" s="40"/>
      <x:c r="D16" s="30"/>
      <x:c r="E16" s="30"/>
      <x:c r="F16" s="30"/>
      <x:c r="G16" s="30"/>
      <x:c r="H16" s="30"/>
      <x:c r="I16" s="40"/>
      <x:c r="J16" s="30"/>
      <x:c r="K16" s="30"/>
      <x:c r="L16" s="30"/>
      <x:c r="M16" s="30"/>
      <x:c r="N16" s="30"/>
      <x:c r="O16" s="30"/>
      <x:c r="P16" s="30"/>
      <x:c r="R16" s="160" t="str">
        <x:f>IF(A16="","",A16)</x:f>
      </x:c>
      <x:c r="S16" s="126" t="str">
        <x:f>IF(B16="","",B16)</x:f>
      </x:c>
      <x:c r="T16" s="36" t="str">
        <x:f>IF(S16="","",IFERROR(INDEX('02_Öğrenciler'!$B$5:$B$203,MATCH(S16,'02_Öğrenciler'!$A$5:$A$203,0)),"KOD HATALI"))</x:f>
      </x:c>
      <x:c r="U16" s="36" t="str">
        <x:f>IF(S16="","",IFERROR(INDEX('02_Öğrenciler'!$C$5:$C$203,MATCH(S16,'02_Öğrenciler'!$A$5:$A$203,0)),""))</x:f>
      </x:c>
      <x:c r="V16" s="132" t="str">
        <x:f>IF(C16="","",C16)</x:f>
      </x:c>
      <x:c r="W16" s="36" t="str">
        <x:f>IF(D16="","",D16)</x:f>
      </x:c>
      <x:c r="X16" s="36" t="str">
        <x:f>IF(E16="","",E16)</x:f>
      </x:c>
      <x:c r="Y16" s="36" t="str">
        <x:f>IF(F16="","",F16)</x:f>
      </x:c>
      <x:c r="Z16" s="36" t="str">
        <x:f>IF(G16="","",G16)</x:f>
      </x:c>
      <x:c r="AA16" s="36" t="str">
        <x:f>IF(OR(Y16="",Z16=""),"",Y16-Z16)</x:f>
      </x:c>
      <x:c r="AB16" s="52" t="str">
        <x:f>IF(OR(Y16="",Z16=""),"",IFERROR(Z16/Y16,0))</x:f>
      </x:c>
      <x:c r="AC16" s="36" t="str">
        <x:f>IF(H16="","",H16)</x:f>
      </x:c>
      <x:c r="AD16" s="132" t="str">
        <x:f>IF(I16="","",I16)</x:f>
      </x:c>
      <x:c r="AE16" s="36" t="str">
        <x:f>IF(J16="","",J16)</x:f>
      </x:c>
      <x:c r="AF16" s="36" t="str">
        <x:f>IF(K16="","",K16)</x:f>
      </x:c>
      <x:c r="AG16" s="36" t="str">
        <x:f>IF(L16="","",L16)</x:f>
      </x:c>
      <x:c r="AH16" s="36" t="str">
        <x:f>IF(M16="","",M16)</x:f>
      </x:c>
      <x:c r="AI16" s="36" t="str">
        <x:f>IF(N16="","",N16)</x:f>
      </x:c>
      <x:c r="AJ16" s="36" t="str">
        <x:f>IF(O16="","",O16)</x:f>
      </x:c>
      <x:c r="AK16" s="36" t="str">
        <x:f>IF(P16="","",P16)</x:f>
      </x:c>
      <x:c r="AL16" s="36" t="str">
        <x:f>IF(R16="","",TEXT(R16,"yyyymmddhhmmss")&amp;"-"&amp;S16&amp;"-"&amp;TEXT(ROW()-4,"0000"))</x:f>
      </x:c>
      <x:c r="AM16" s="36" t="str">
        <x:f>IF(R16="","",IF(T16="KOD HATALI","Öğrenci Kodu Hatalı",IF(OR(V16="",W16="",X16="",Y16="",Z16="",AF16="",AG16="",AJ16="",AK16=""),"Eksik Zorunlu Alan",IF(OR(Y16&lt;0,Z16&lt;0,Z16&gt;Y16),"Soru Sayısı Hatası",IF(AND(AD16&lt;&gt;"",AD16&lt;V16),"Ödev Tarihi Hatası",IF(COUNTIF($AL$5:AL16,AL16)&gt;1,"Mükerrer Form Kaydı","Aktarıma Hazır"))))))</x:f>
      </x:c>
      <x:c r="AN16" s="30"/>
      <x:c r="AO16" s="40"/>
      <x:c r="AP16" s="30"/>
    </x:row>
    <x:row r="17">
      <x:c r="A17" s="158"/>
      <x:c r="B17" s="44"/>
      <x:c r="C17" s="40"/>
      <x:c r="D17" s="30"/>
      <x:c r="E17" s="30"/>
      <x:c r="F17" s="30"/>
      <x:c r="G17" s="30"/>
      <x:c r="H17" s="30"/>
      <x:c r="I17" s="40"/>
      <x:c r="J17" s="30"/>
      <x:c r="K17" s="30"/>
      <x:c r="L17" s="30"/>
      <x:c r="M17" s="30"/>
      <x:c r="N17" s="30"/>
      <x:c r="O17" s="30"/>
      <x:c r="P17" s="30"/>
      <x:c r="R17" s="160" t="str">
        <x:f>IF(A17="","",A17)</x:f>
      </x:c>
      <x:c r="S17" s="126" t="str">
        <x:f>IF(B17="","",B17)</x:f>
      </x:c>
      <x:c r="T17" s="36" t="str">
        <x:f>IF(S17="","",IFERROR(INDEX('02_Öğrenciler'!$B$5:$B$203,MATCH(S17,'02_Öğrenciler'!$A$5:$A$203,0)),"KOD HATALI"))</x:f>
      </x:c>
      <x:c r="U17" s="36" t="str">
        <x:f>IF(S17="","",IFERROR(INDEX('02_Öğrenciler'!$C$5:$C$203,MATCH(S17,'02_Öğrenciler'!$A$5:$A$203,0)),""))</x:f>
      </x:c>
      <x:c r="V17" s="132" t="str">
        <x:f>IF(C17="","",C17)</x:f>
      </x:c>
      <x:c r="W17" s="36" t="str">
        <x:f>IF(D17="","",D17)</x:f>
      </x:c>
      <x:c r="X17" s="36" t="str">
        <x:f>IF(E17="","",E17)</x:f>
      </x:c>
      <x:c r="Y17" s="36" t="str">
        <x:f>IF(F17="","",F17)</x:f>
      </x:c>
      <x:c r="Z17" s="36" t="str">
        <x:f>IF(G17="","",G17)</x:f>
      </x:c>
      <x:c r="AA17" s="36" t="str">
        <x:f>IF(OR(Y17="",Z17=""),"",Y17-Z17)</x:f>
      </x:c>
      <x:c r="AB17" s="52" t="str">
        <x:f>IF(OR(Y17="",Z17=""),"",IFERROR(Z17/Y17,0))</x:f>
      </x:c>
      <x:c r="AC17" s="36" t="str">
        <x:f>IF(H17="","",H17)</x:f>
      </x:c>
      <x:c r="AD17" s="132" t="str">
        <x:f>IF(I17="","",I17)</x:f>
      </x:c>
      <x:c r="AE17" s="36" t="str">
        <x:f>IF(J17="","",J17)</x:f>
      </x:c>
      <x:c r="AF17" s="36" t="str">
        <x:f>IF(K17="","",K17)</x:f>
      </x:c>
      <x:c r="AG17" s="36" t="str">
        <x:f>IF(L17="","",L17)</x:f>
      </x:c>
      <x:c r="AH17" s="36" t="str">
        <x:f>IF(M17="","",M17)</x:f>
      </x:c>
      <x:c r="AI17" s="36" t="str">
        <x:f>IF(N17="","",N17)</x:f>
      </x:c>
      <x:c r="AJ17" s="36" t="str">
        <x:f>IF(O17="","",O17)</x:f>
      </x:c>
      <x:c r="AK17" s="36" t="str">
        <x:f>IF(P17="","",P17)</x:f>
      </x:c>
      <x:c r="AL17" s="36" t="str">
        <x:f>IF(R17="","",TEXT(R17,"yyyymmddhhmmss")&amp;"-"&amp;S17&amp;"-"&amp;TEXT(ROW()-4,"0000"))</x:f>
      </x:c>
      <x:c r="AM17" s="36" t="str">
        <x:f>IF(R17="","",IF(T17="KOD HATALI","Öğrenci Kodu Hatalı",IF(OR(V17="",W17="",X17="",Y17="",Z17="",AF17="",AG17="",AJ17="",AK17=""),"Eksik Zorunlu Alan",IF(OR(Y17&lt;0,Z17&lt;0,Z17&gt;Y17),"Soru Sayısı Hatası",IF(AND(AD17&lt;&gt;"",AD17&lt;V17),"Ödev Tarihi Hatası",IF(COUNTIF($AL$5:AL17,AL17)&gt;1,"Mükerrer Form Kaydı","Aktarıma Hazır"))))))</x:f>
      </x:c>
      <x:c r="AN17" s="30"/>
      <x:c r="AO17" s="40"/>
      <x:c r="AP17" s="30"/>
    </x:row>
    <x:row r="18">
      <x:c r="A18" s="158"/>
      <x:c r="B18" s="44"/>
      <x:c r="C18" s="40"/>
      <x:c r="D18" s="30"/>
      <x:c r="E18" s="30"/>
      <x:c r="F18" s="30"/>
      <x:c r="G18" s="30"/>
      <x:c r="H18" s="30"/>
      <x:c r="I18" s="40"/>
      <x:c r="J18" s="30"/>
      <x:c r="K18" s="30"/>
      <x:c r="L18" s="30"/>
      <x:c r="M18" s="30"/>
      <x:c r="N18" s="30"/>
      <x:c r="O18" s="30"/>
      <x:c r="P18" s="30"/>
      <x:c r="R18" s="160" t="str">
        <x:f>IF(A18="","",A18)</x:f>
      </x:c>
      <x:c r="S18" s="126" t="str">
        <x:f>IF(B18="","",B18)</x:f>
      </x:c>
      <x:c r="T18" s="36" t="str">
        <x:f>IF(S18="","",IFERROR(INDEX('02_Öğrenciler'!$B$5:$B$203,MATCH(S18,'02_Öğrenciler'!$A$5:$A$203,0)),"KOD HATALI"))</x:f>
      </x:c>
      <x:c r="U18" s="36" t="str">
        <x:f>IF(S18="","",IFERROR(INDEX('02_Öğrenciler'!$C$5:$C$203,MATCH(S18,'02_Öğrenciler'!$A$5:$A$203,0)),""))</x:f>
      </x:c>
      <x:c r="V18" s="132" t="str">
        <x:f>IF(C18="","",C18)</x:f>
      </x:c>
      <x:c r="W18" s="36" t="str">
        <x:f>IF(D18="","",D18)</x:f>
      </x:c>
      <x:c r="X18" s="36" t="str">
        <x:f>IF(E18="","",E18)</x:f>
      </x:c>
      <x:c r="Y18" s="36" t="str">
        <x:f>IF(F18="","",F18)</x:f>
      </x:c>
      <x:c r="Z18" s="36" t="str">
        <x:f>IF(G18="","",G18)</x:f>
      </x:c>
      <x:c r="AA18" s="36" t="str">
        <x:f>IF(OR(Y18="",Z18=""),"",Y18-Z18)</x:f>
      </x:c>
      <x:c r="AB18" s="52" t="str">
        <x:f>IF(OR(Y18="",Z18=""),"",IFERROR(Z18/Y18,0))</x:f>
      </x:c>
      <x:c r="AC18" s="36" t="str">
        <x:f>IF(H18="","",H18)</x:f>
      </x:c>
      <x:c r="AD18" s="132" t="str">
        <x:f>IF(I18="","",I18)</x:f>
      </x:c>
      <x:c r="AE18" s="36" t="str">
        <x:f>IF(J18="","",J18)</x:f>
      </x:c>
      <x:c r="AF18" s="36" t="str">
        <x:f>IF(K18="","",K18)</x:f>
      </x:c>
      <x:c r="AG18" s="36" t="str">
        <x:f>IF(L18="","",L18)</x:f>
      </x:c>
      <x:c r="AH18" s="36" t="str">
        <x:f>IF(M18="","",M18)</x:f>
      </x:c>
      <x:c r="AI18" s="36" t="str">
        <x:f>IF(N18="","",N18)</x:f>
      </x:c>
      <x:c r="AJ18" s="36" t="str">
        <x:f>IF(O18="","",O18)</x:f>
      </x:c>
      <x:c r="AK18" s="36" t="str">
        <x:f>IF(P18="","",P18)</x:f>
      </x:c>
      <x:c r="AL18" s="36" t="str">
        <x:f>IF(R18="","",TEXT(R18,"yyyymmddhhmmss")&amp;"-"&amp;S18&amp;"-"&amp;TEXT(ROW()-4,"0000"))</x:f>
      </x:c>
      <x:c r="AM18" s="36" t="str">
        <x:f>IF(R18="","",IF(T18="KOD HATALI","Öğrenci Kodu Hatalı",IF(OR(V18="",W18="",X18="",Y18="",Z18="",AF18="",AG18="",AJ18="",AK18=""),"Eksik Zorunlu Alan",IF(OR(Y18&lt;0,Z18&lt;0,Z18&gt;Y18),"Soru Sayısı Hatası",IF(AND(AD18&lt;&gt;"",AD18&lt;V18),"Ödev Tarihi Hatası",IF(COUNTIF($AL$5:AL18,AL18)&gt;1,"Mükerrer Form Kaydı","Aktarıma Hazır"))))))</x:f>
      </x:c>
      <x:c r="AN18" s="30"/>
      <x:c r="AO18" s="40"/>
      <x:c r="AP18" s="30"/>
    </x:row>
    <x:row r="19">
      <x:c r="A19" s="158"/>
      <x:c r="B19" s="44"/>
      <x:c r="C19" s="40"/>
      <x:c r="D19" s="30"/>
      <x:c r="E19" s="30"/>
      <x:c r="F19" s="30"/>
      <x:c r="G19" s="30"/>
      <x:c r="H19" s="30"/>
      <x:c r="I19" s="40"/>
      <x:c r="J19" s="30"/>
      <x:c r="K19" s="30"/>
      <x:c r="L19" s="30"/>
      <x:c r="M19" s="30"/>
      <x:c r="N19" s="30"/>
      <x:c r="O19" s="30"/>
      <x:c r="P19" s="30"/>
      <x:c r="R19" s="160" t="str">
        <x:f>IF(A19="","",A19)</x:f>
      </x:c>
      <x:c r="S19" s="126" t="str">
        <x:f>IF(B19="","",B19)</x:f>
      </x:c>
      <x:c r="T19" s="36" t="str">
        <x:f>IF(S19="","",IFERROR(INDEX('02_Öğrenciler'!$B$5:$B$203,MATCH(S19,'02_Öğrenciler'!$A$5:$A$203,0)),"KOD HATALI"))</x:f>
      </x:c>
      <x:c r="U19" s="36" t="str">
        <x:f>IF(S19="","",IFERROR(INDEX('02_Öğrenciler'!$C$5:$C$203,MATCH(S19,'02_Öğrenciler'!$A$5:$A$203,0)),""))</x:f>
      </x:c>
      <x:c r="V19" s="132" t="str">
        <x:f>IF(C19="","",C19)</x:f>
      </x:c>
      <x:c r="W19" s="36" t="str">
        <x:f>IF(D19="","",D19)</x:f>
      </x:c>
      <x:c r="X19" s="36" t="str">
        <x:f>IF(E19="","",E19)</x:f>
      </x:c>
      <x:c r="Y19" s="36" t="str">
        <x:f>IF(F19="","",F19)</x:f>
      </x:c>
      <x:c r="Z19" s="36" t="str">
        <x:f>IF(G19="","",G19)</x:f>
      </x:c>
      <x:c r="AA19" s="36" t="str">
        <x:f>IF(OR(Y19="",Z19=""),"",Y19-Z19)</x:f>
      </x:c>
      <x:c r="AB19" s="52" t="str">
        <x:f>IF(OR(Y19="",Z19=""),"",IFERROR(Z19/Y19,0))</x:f>
      </x:c>
      <x:c r="AC19" s="36" t="str">
        <x:f>IF(H19="","",H19)</x:f>
      </x:c>
      <x:c r="AD19" s="132" t="str">
        <x:f>IF(I19="","",I19)</x:f>
      </x:c>
      <x:c r="AE19" s="36" t="str">
        <x:f>IF(J19="","",J19)</x:f>
      </x:c>
      <x:c r="AF19" s="36" t="str">
        <x:f>IF(K19="","",K19)</x:f>
      </x:c>
      <x:c r="AG19" s="36" t="str">
        <x:f>IF(L19="","",L19)</x:f>
      </x:c>
      <x:c r="AH19" s="36" t="str">
        <x:f>IF(M19="","",M19)</x:f>
      </x:c>
      <x:c r="AI19" s="36" t="str">
        <x:f>IF(N19="","",N19)</x:f>
      </x:c>
      <x:c r="AJ19" s="36" t="str">
        <x:f>IF(O19="","",O19)</x:f>
      </x:c>
      <x:c r="AK19" s="36" t="str">
        <x:f>IF(P19="","",P19)</x:f>
      </x:c>
      <x:c r="AL19" s="36" t="str">
        <x:f>IF(R19="","",TEXT(R19,"yyyymmddhhmmss")&amp;"-"&amp;S19&amp;"-"&amp;TEXT(ROW()-4,"0000"))</x:f>
      </x:c>
      <x:c r="AM19" s="36" t="str">
        <x:f>IF(R19="","",IF(T19="KOD HATALI","Öğrenci Kodu Hatalı",IF(OR(V19="",W19="",X19="",Y19="",Z19="",AF19="",AG19="",AJ19="",AK19=""),"Eksik Zorunlu Alan",IF(OR(Y19&lt;0,Z19&lt;0,Z19&gt;Y19),"Soru Sayısı Hatası",IF(AND(AD19&lt;&gt;"",AD19&lt;V19),"Ödev Tarihi Hatası",IF(COUNTIF($AL$5:AL19,AL19)&gt;1,"Mükerrer Form Kaydı","Aktarıma Hazır"))))))</x:f>
      </x:c>
      <x:c r="AN19" s="30"/>
      <x:c r="AO19" s="40"/>
      <x:c r="AP19" s="30"/>
    </x:row>
    <x:row r="20">
      <x:c r="A20" s="158"/>
      <x:c r="B20" s="44"/>
      <x:c r="C20" s="40"/>
      <x:c r="D20" s="30"/>
      <x:c r="E20" s="30"/>
      <x:c r="F20" s="30"/>
      <x:c r="G20" s="30"/>
      <x:c r="H20" s="30"/>
      <x:c r="I20" s="40"/>
      <x:c r="J20" s="30"/>
      <x:c r="K20" s="30"/>
      <x:c r="L20" s="30"/>
      <x:c r="M20" s="30"/>
      <x:c r="N20" s="30"/>
      <x:c r="O20" s="30"/>
      <x:c r="P20" s="30"/>
      <x:c r="R20" s="160" t="str">
        <x:f>IF(A20="","",A20)</x:f>
      </x:c>
      <x:c r="S20" s="126" t="str">
        <x:f>IF(B20="","",B20)</x:f>
      </x:c>
      <x:c r="T20" s="36" t="str">
        <x:f>IF(S20="","",IFERROR(INDEX('02_Öğrenciler'!$B$5:$B$203,MATCH(S20,'02_Öğrenciler'!$A$5:$A$203,0)),"KOD HATALI"))</x:f>
      </x:c>
      <x:c r="U20" s="36" t="str">
        <x:f>IF(S20="","",IFERROR(INDEX('02_Öğrenciler'!$C$5:$C$203,MATCH(S20,'02_Öğrenciler'!$A$5:$A$203,0)),""))</x:f>
      </x:c>
      <x:c r="V20" s="132" t="str">
        <x:f>IF(C20="","",C20)</x:f>
      </x:c>
      <x:c r="W20" s="36" t="str">
        <x:f>IF(D20="","",D20)</x:f>
      </x:c>
      <x:c r="X20" s="36" t="str">
        <x:f>IF(E20="","",E20)</x:f>
      </x:c>
      <x:c r="Y20" s="36" t="str">
        <x:f>IF(F20="","",F20)</x:f>
      </x:c>
      <x:c r="Z20" s="36" t="str">
        <x:f>IF(G20="","",G20)</x:f>
      </x:c>
      <x:c r="AA20" s="36" t="str">
        <x:f>IF(OR(Y20="",Z20=""),"",Y20-Z20)</x:f>
      </x:c>
      <x:c r="AB20" s="52" t="str">
        <x:f>IF(OR(Y20="",Z20=""),"",IFERROR(Z20/Y20,0))</x:f>
      </x:c>
      <x:c r="AC20" s="36" t="str">
        <x:f>IF(H20="","",H20)</x:f>
      </x:c>
      <x:c r="AD20" s="132" t="str">
        <x:f>IF(I20="","",I20)</x:f>
      </x:c>
      <x:c r="AE20" s="36" t="str">
        <x:f>IF(J20="","",J20)</x:f>
      </x:c>
      <x:c r="AF20" s="36" t="str">
        <x:f>IF(K20="","",K20)</x:f>
      </x:c>
      <x:c r="AG20" s="36" t="str">
        <x:f>IF(L20="","",L20)</x:f>
      </x:c>
      <x:c r="AH20" s="36" t="str">
        <x:f>IF(M20="","",M20)</x:f>
      </x:c>
      <x:c r="AI20" s="36" t="str">
        <x:f>IF(N20="","",N20)</x:f>
      </x:c>
      <x:c r="AJ20" s="36" t="str">
        <x:f>IF(O20="","",O20)</x:f>
      </x:c>
      <x:c r="AK20" s="36" t="str">
        <x:f>IF(P20="","",P20)</x:f>
      </x:c>
      <x:c r="AL20" s="36" t="str">
        <x:f>IF(R20="","",TEXT(R20,"yyyymmddhhmmss")&amp;"-"&amp;S20&amp;"-"&amp;TEXT(ROW()-4,"0000"))</x:f>
      </x:c>
      <x:c r="AM20" s="36" t="str">
        <x:f>IF(R20="","",IF(T20="KOD HATALI","Öğrenci Kodu Hatalı",IF(OR(V20="",W20="",X20="",Y20="",Z20="",AF20="",AG20="",AJ20="",AK20=""),"Eksik Zorunlu Alan",IF(OR(Y20&lt;0,Z20&lt;0,Z20&gt;Y20),"Soru Sayısı Hatası",IF(AND(AD20&lt;&gt;"",AD20&lt;V20),"Ödev Tarihi Hatası",IF(COUNTIF($AL$5:AL20,AL20)&gt;1,"Mükerrer Form Kaydı","Aktarıma Hazır"))))))</x:f>
      </x:c>
      <x:c r="AN20" s="30"/>
      <x:c r="AO20" s="40"/>
      <x:c r="AP20" s="30"/>
    </x:row>
    <x:row r="21">
      <x:c r="A21" s="158"/>
      <x:c r="B21" s="44"/>
      <x:c r="C21" s="40"/>
      <x:c r="D21" s="30"/>
      <x:c r="E21" s="30"/>
      <x:c r="F21" s="30"/>
      <x:c r="G21" s="30"/>
      <x:c r="H21" s="30"/>
      <x:c r="I21" s="40"/>
      <x:c r="J21" s="30"/>
      <x:c r="K21" s="30"/>
      <x:c r="L21" s="30"/>
      <x:c r="M21" s="30"/>
      <x:c r="N21" s="30"/>
      <x:c r="O21" s="30"/>
      <x:c r="P21" s="30"/>
      <x:c r="R21" s="160" t="str">
        <x:f>IF(A21="","",A21)</x:f>
      </x:c>
      <x:c r="S21" s="126" t="str">
        <x:f>IF(B21="","",B21)</x:f>
      </x:c>
      <x:c r="T21" s="36" t="str">
        <x:f>IF(S21="","",IFERROR(INDEX('02_Öğrenciler'!$B$5:$B$203,MATCH(S21,'02_Öğrenciler'!$A$5:$A$203,0)),"KOD HATALI"))</x:f>
      </x:c>
      <x:c r="U21" s="36" t="str">
        <x:f>IF(S21="","",IFERROR(INDEX('02_Öğrenciler'!$C$5:$C$203,MATCH(S21,'02_Öğrenciler'!$A$5:$A$203,0)),""))</x:f>
      </x:c>
      <x:c r="V21" s="132" t="str">
        <x:f>IF(C21="","",C21)</x:f>
      </x:c>
      <x:c r="W21" s="36" t="str">
        <x:f>IF(D21="","",D21)</x:f>
      </x:c>
      <x:c r="X21" s="36" t="str">
        <x:f>IF(E21="","",E21)</x:f>
      </x:c>
      <x:c r="Y21" s="36" t="str">
        <x:f>IF(F21="","",F21)</x:f>
      </x:c>
      <x:c r="Z21" s="36" t="str">
        <x:f>IF(G21="","",G21)</x:f>
      </x:c>
      <x:c r="AA21" s="36" t="str">
        <x:f>IF(OR(Y21="",Z21=""),"",Y21-Z21)</x:f>
      </x:c>
      <x:c r="AB21" s="52" t="str">
        <x:f>IF(OR(Y21="",Z21=""),"",IFERROR(Z21/Y21,0))</x:f>
      </x:c>
      <x:c r="AC21" s="36" t="str">
        <x:f>IF(H21="","",H21)</x:f>
      </x:c>
      <x:c r="AD21" s="132" t="str">
        <x:f>IF(I21="","",I21)</x:f>
      </x:c>
      <x:c r="AE21" s="36" t="str">
        <x:f>IF(J21="","",J21)</x:f>
      </x:c>
      <x:c r="AF21" s="36" t="str">
        <x:f>IF(K21="","",K21)</x:f>
      </x:c>
      <x:c r="AG21" s="36" t="str">
        <x:f>IF(L21="","",L21)</x:f>
      </x:c>
      <x:c r="AH21" s="36" t="str">
        <x:f>IF(M21="","",M21)</x:f>
      </x:c>
      <x:c r="AI21" s="36" t="str">
        <x:f>IF(N21="","",N21)</x:f>
      </x:c>
      <x:c r="AJ21" s="36" t="str">
        <x:f>IF(O21="","",O21)</x:f>
      </x:c>
      <x:c r="AK21" s="36" t="str">
        <x:f>IF(P21="","",P21)</x:f>
      </x:c>
      <x:c r="AL21" s="36" t="str">
        <x:f>IF(R21="","",TEXT(R21,"yyyymmddhhmmss")&amp;"-"&amp;S21&amp;"-"&amp;TEXT(ROW()-4,"0000"))</x:f>
      </x:c>
      <x:c r="AM21" s="36" t="str">
        <x:f>IF(R21="","",IF(T21="KOD HATALI","Öğrenci Kodu Hatalı",IF(OR(V21="",W21="",X21="",Y21="",Z21="",AF21="",AG21="",AJ21="",AK21=""),"Eksik Zorunlu Alan",IF(OR(Y21&lt;0,Z21&lt;0,Z21&gt;Y21),"Soru Sayısı Hatası",IF(AND(AD21&lt;&gt;"",AD21&lt;V21),"Ödev Tarihi Hatası",IF(COUNTIF($AL$5:AL21,AL21)&gt;1,"Mükerrer Form Kaydı","Aktarıma Hazır"))))))</x:f>
      </x:c>
      <x:c r="AN21" s="30"/>
      <x:c r="AO21" s="40"/>
      <x:c r="AP21" s="30"/>
    </x:row>
    <x:row r="22">
      <x:c r="A22" s="158"/>
      <x:c r="B22" s="44"/>
      <x:c r="C22" s="40"/>
      <x:c r="D22" s="30"/>
      <x:c r="E22" s="30"/>
      <x:c r="F22" s="30"/>
      <x:c r="G22" s="30"/>
      <x:c r="H22" s="30"/>
      <x:c r="I22" s="40"/>
      <x:c r="J22" s="30"/>
      <x:c r="K22" s="30"/>
      <x:c r="L22" s="30"/>
      <x:c r="M22" s="30"/>
      <x:c r="N22" s="30"/>
      <x:c r="O22" s="30"/>
      <x:c r="P22" s="30"/>
      <x:c r="R22" s="160" t="str">
        <x:f>IF(A22="","",A22)</x:f>
      </x:c>
      <x:c r="S22" s="126" t="str">
        <x:f>IF(B22="","",B22)</x:f>
      </x:c>
      <x:c r="T22" s="36" t="str">
        <x:f>IF(S22="","",IFERROR(INDEX('02_Öğrenciler'!$B$5:$B$203,MATCH(S22,'02_Öğrenciler'!$A$5:$A$203,0)),"KOD HATALI"))</x:f>
      </x:c>
      <x:c r="U22" s="36" t="str">
        <x:f>IF(S22="","",IFERROR(INDEX('02_Öğrenciler'!$C$5:$C$203,MATCH(S22,'02_Öğrenciler'!$A$5:$A$203,0)),""))</x:f>
      </x:c>
      <x:c r="V22" s="132" t="str">
        <x:f>IF(C22="","",C22)</x:f>
      </x:c>
      <x:c r="W22" s="36" t="str">
        <x:f>IF(D22="","",D22)</x:f>
      </x:c>
      <x:c r="X22" s="36" t="str">
        <x:f>IF(E22="","",E22)</x:f>
      </x:c>
      <x:c r="Y22" s="36" t="str">
        <x:f>IF(F22="","",F22)</x:f>
      </x:c>
      <x:c r="Z22" s="36" t="str">
        <x:f>IF(G22="","",G22)</x:f>
      </x:c>
      <x:c r="AA22" s="36" t="str">
        <x:f>IF(OR(Y22="",Z22=""),"",Y22-Z22)</x:f>
      </x:c>
      <x:c r="AB22" s="52" t="str">
        <x:f>IF(OR(Y22="",Z22=""),"",IFERROR(Z22/Y22,0))</x:f>
      </x:c>
      <x:c r="AC22" s="36" t="str">
        <x:f>IF(H22="","",H22)</x:f>
      </x:c>
      <x:c r="AD22" s="132" t="str">
        <x:f>IF(I22="","",I22)</x:f>
      </x:c>
      <x:c r="AE22" s="36" t="str">
        <x:f>IF(J22="","",J22)</x:f>
      </x:c>
      <x:c r="AF22" s="36" t="str">
        <x:f>IF(K22="","",K22)</x:f>
      </x:c>
      <x:c r="AG22" s="36" t="str">
        <x:f>IF(L22="","",L22)</x:f>
      </x:c>
      <x:c r="AH22" s="36" t="str">
        <x:f>IF(M22="","",M22)</x:f>
      </x:c>
      <x:c r="AI22" s="36" t="str">
        <x:f>IF(N22="","",N22)</x:f>
      </x:c>
      <x:c r="AJ22" s="36" t="str">
        <x:f>IF(O22="","",O22)</x:f>
      </x:c>
      <x:c r="AK22" s="36" t="str">
        <x:f>IF(P22="","",P22)</x:f>
      </x:c>
      <x:c r="AL22" s="36" t="str">
        <x:f>IF(R22="","",TEXT(R22,"yyyymmddhhmmss")&amp;"-"&amp;S22&amp;"-"&amp;TEXT(ROW()-4,"0000"))</x:f>
      </x:c>
      <x:c r="AM22" s="36" t="str">
        <x:f>IF(R22="","",IF(T22="KOD HATALI","Öğrenci Kodu Hatalı",IF(OR(V22="",W22="",X22="",Y22="",Z22="",AF22="",AG22="",AJ22="",AK22=""),"Eksik Zorunlu Alan",IF(OR(Y22&lt;0,Z22&lt;0,Z22&gt;Y22),"Soru Sayısı Hatası",IF(AND(AD22&lt;&gt;"",AD22&lt;V22),"Ödev Tarihi Hatası",IF(COUNTIF($AL$5:AL22,AL22)&gt;1,"Mükerrer Form Kaydı","Aktarıma Hazır"))))))</x:f>
      </x:c>
      <x:c r="AN22" s="30"/>
      <x:c r="AO22" s="40"/>
      <x:c r="AP22" s="30"/>
    </x:row>
    <x:row r="23">
      <x:c r="A23" s="158"/>
      <x:c r="B23" s="44"/>
      <x:c r="C23" s="40"/>
      <x:c r="D23" s="30"/>
      <x:c r="E23" s="30"/>
      <x:c r="F23" s="30"/>
      <x:c r="G23" s="30"/>
      <x:c r="H23" s="30"/>
      <x:c r="I23" s="40"/>
      <x:c r="J23" s="30"/>
      <x:c r="K23" s="30"/>
      <x:c r="L23" s="30"/>
      <x:c r="M23" s="30"/>
      <x:c r="N23" s="30"/>
      <x:c r="O23" s="30"/>
      <x:c r="P23" s="30"/>
      <x:c r="R23" s="160" t="str">
        <x:f>IF(A23="","",A23)</x:f>
      </x:c>
      <x:c r="S23" s="126" t="str">
        <x:f>IF(B23="","",B23)</x:f>
      </x:c>
      <x:c r="T23" s="36" t="str">
        <x:f>IF(S23="","",IFERROR(INDEX('02_Öğrenciler'!$B$5:$B$203,MATCH(S23,'02_Öğrenciler'!$A$5:$A$203,0)),"KOD HATALI"))</x:f>
      </x:c>
      <x:c r="U23" s="36" t="str">
        <x:f>IF(S23="","",IFERROR(INDEX('02_Öğrenciler'!$C$5:$C$203,MATCH(S23,'02_Öğrenciler'!$A$5:$A$203,0)),""))</x:f>
      </x:c>
      <x:c r="V23" s="132" t="str">
        <x:f>IF(C23="","",C23)</x:f>
      </x:c>
      <x:c r="W23" s="36" t="str">
        <x:f>IF(D23="","",D23)</x:f>
      </x:c>
      <x:c r="X23" s="36" t="str">
        <x:f>IF(E23="","",E23)</x:f>
      </x:c>
      <x:c r="Y23" s="36" t="str">
        <x:f>IF(F23="","",F23)</x:f>
      </x:c>
      <x:c r="Z23" s="36" t="str">
        <x:f>IF(G23="","",G23)</x:f>
      </x:c>
      <x:c r="AA23" s="36" t="str">
        <x:f>IF(OR(Y23="",Z23=""),"",Y23-Z23)</x:f>
      </x:c>
      <x:c r="AB23" s="52" t="str">
        <x:f>IF(OR(Y23="",Z23=""),"",IFERROR(Z23/Y23,0))</x:f>
      </x:c>
      <x:c r="AC23" s="36" t="str">
        <x:f>IF(H23="","",H23)</x:f>
      </x:c>
      <x:c r="AD23" s="132" t="str">
        <x:f>IF(I23="","",I23)</x:f>
      </x:c>
      <x:c r="AE23" s="36" t="str">
        <x:f>IF(J23="","",J23)</x:f>
      </x:c>
      <x:c r="AF23" s="36" t="str">
        <x:f>IF(K23="","",K23)</x:f>
      </x:c>
      <x:c r="AG23" s="36" t="str">
        <x:f>IF(L23="","",L23)</x:f>
      </x:c>
      <x:c r="AH23" s="36" t="str">
        <x:f>IF(M23="","",M23)</x:f>
      </x:c>
      <x:c r="AI23" s="36" t="str">
        <x:f>IF(N23="","",N23)</x:f>
      </x:c>
      <x:c r="AJ23" s="36" t="str">
        <x:f>IF(O23="","",O23)</x:f>
      </x:c>
      <x:c r="AK23" s="36" t="str">
        <x:f>IF(P23="","",P23)</x:f>
      </x:c>
      <x:c r="AL23" s="36" t="str">
        <x:f>IF(R23="","",TEXT(R23,"yyyymmddhhmmss")&amp;"-"&amp;S23&amp;"-"&amp;TEXT(ROW()-4,"0000"))</x:f>
      </x:c>
      <x:c r="AM23" s="36" t="str">
        <x:f>IF(R23="","",IF(T23="KOD HATALI","Öğrenci Kodu Hatalı",IF(OR(V23="",W23="",X23="",Y23="",Z23="",AF23="",AG23="",AJ23="",AK23=""),"Eksik Zorunlu Alan",IF(OR(Y23&lt;0,Z23&lt;0,Z23&gt;Y23),"Soru Sayısı Hatası",IF(AND(AD23&lt;&gt;"",AD23&lt;V23),"Ödev Tarihi Hatası",IF(COUNTIF($AL$5:AL23,AL23)&gt;1,"Mükerrer Form Kaydı","Aktarıma Hazır"))))))</x:f>
      </x:c>
      <x:c r="AN23" s="30"/>
      <x:c r="AO23" s="40"/>
      <x:c r="AP23" s="30"/>
    </x:row>
    <x:row r="24">
      <x:c r="A24" s="158"/>
      <x:c r="B24" s="44"/>
      <x:c r="C24" s="40"/>
      <x:c r="D24" s="30"/>
      <x:c r="E24" s="30"/>
      <x:c r="F24" s="30"/>
      <x:c r="G24" s="30"/>
      <x:c r="H24" s="30"/>
      <x:c r="I24" s="40"/>
      <x:c r="J24" s="30"/>
      <x:c r="K24" s="30"/>
      <x:c r="L24" s="30"/>
      <x:c r="M24" s="30"/>
      <x:c r="N24" s="30"/>
      <x:c r="O24" s="30"/>
      <x:c r="P24" s="30"/>
      <x:c r="R24" s="160" t="str">
        <x:f>IF(A24="","",A24)</x:f>
      </x:c>
      <x:c r="S24" s="126" t="str">
        <x:f>IF(B24="","",B24)</x:f>
      </x:c>
      <x:c r="T24" s="36" t="str">
        <x:f>IF(S24="","",IFERROR(INDEX('02_Öğrenciler'!$B$5:$B$203,MATCH(S24,'02_Öğrenciler'!$A$5:$A$203,0)),"KOD HATALI"))</x:f>
      </x:c>
      <x:c r="U24" s="36" t="str">
        <x:f>IF(S24="","",IFERROR(INDEX('02_Öğrenciler'!$C$5:$C$203,MATCH(S24,'02_Öğrenciler'!$A$5:$A$203,0)),""))</x:f>
      </x:c>
      <x:c r="V24" s="132" t="str">
        <x:f>IF(C24="","",C24)</x:f>
      </x:c>
      <x:c r="W24" s="36" t="str">
        <x:f>IF(D24="","",D24)</x:f>
      </x:c>
      <x:c r="X24" s="36" t="str">
        <x:f>IF(E24="","",E24)</x:f>
      </x:c>
      <x:c r="Y24" s="36" t="str">
        <x:f>IF(F24="","",F24)</x:f>
      </x:c>
      <x:c r="Z24" s="36" t="str">
        <x:f>IF(G24="","",G24)</x:f>
      </x:c>
      <x:c r="AA24" s="36" t="str">
        <x:f>IF(OR(Y24="",Z24=""),"",Y24-Z24)</x:f>
      </x:c>
      <x:c r="AB24" s="52" t="str">
        <x:f>IF(OR(Y24="",Z24=""),"",IFERROR(Z24/Y24,0))</x:f>
      </x:c>
      <x:c r="AC24" s="36" t="str">
        <x:f>IF(H24="","",H24)</x:f>
      </x:c>
      <x:c r="AD24" s="132" t="str">
        <x:f>IF(I24="","",I24)</x:f>
      </x:c>
      <x:c r="AE24" s="36" t="str">
        <x:f>IF(J24="","",J24)</x:f>
      </x:c>
      <x:c r="AF24" s="36" t="str">
        <x:f>IF(K24="","",K24)</x:f>
      </x:c>
      <x:c r="AG24" s="36" t="str">
        <x:f>IF(L24="","",L24)</x:f>
      </x:c>
      <x:c r="AH24" s="36" t="str">
        <x:f>IF(M24="","",M24)</x:f>
      </x:c>
      <x:c r="AI24" s="36" t="str">
        <x:f>IF(N24="","",N24)</x:f>
      </x:c>
      <x:c r="AJ24" s="36" t="str">
        <x:f>IF(O24="","",O24)</x:f>
      </x:c>
      <x:c r="AK24" s="36" t="str">
        <x:f>IF(P24="","",P24)</x:f>
      </x:c>
      <x:c r="AL24" s="36" t="str">
        <x:f>IF(R24="","",TEXT(R24,"yyyymmddhhmmss")&amp;"-"&amp;S24&amp;"-"&amp;TEXT(ROW()-4,"0000"))</x:f>
      </x:c>
      <x:c r="AM24" s="36" t="str">
        <x:f>IF(R24="","",IF(T24="KOD HATALI","Öğrenci Kodu Hatalı",IF(OR(V24="",W24="",X24="",Y24="",Z24="",AF24="",AG24="",AJ24="",AK24=""),"Eksik Zorunlu Alan",IF(OR(Y24&lt;0,Z24&lt;0,Z24&gt;Y24),"Soru Sayısı Hatası",IF(AND(AD24&lt;&gt;"",AD24&lt;V24),"Ödev Tarihi Hatası",IF(COUNTIF($AL$5:AL24,AL24)&gt;1,"Mükerrer Form Kaydı","Aktarıma Hazır"))))))</x:f>
      </x:c>
      <x:c r="AN24" s="30"/>
      <x:c r="AO24" s="40"/>
      <x:c r="AP24" s="30"/>
    </x:row>
    <x:row r="25">
      <x:c r="A25" s="158"/>
      <x:c r="B25" s="44"/>
      <x:c r="C25" s="40"/>
      <x:c r="D25" s="30"/>
      <x:c r="E25" s="30"/>
      <x:c r="F25" s="30"/>
      <x:c r="G25" s="30"/>
      <x:c r="H25" s="30"/>
      <x:c r="I25" s="40"/>
      <x:c r="J25" s="30"/>
      <x:c r="K25" s="30"/>
      <x:c r="L25" s="30"/>
      <x:c r="M25" s="30"/>
      <x:c r="N25" s="30"/>
      <x:c r="O25" s="30"/>
      <x:c r="P25" s="30"/>
      <x:c r="R25" s="160" t="str">
        <x:f>IF(A25="","",A25)</x:f>
      </x:c>
      <x:c r="S25" s="126" t="str">
        <x:f>IF(B25="","",B25)</x:f>
      </x:c>
      <x:c r="T25" s="36" t="str">
        <x:f>IF(S25="","",IFERROR(INDEX('02_Öğrenciler'!$B$5:$B$203,MATCH(S25,'02_Öğrenciler'!$A$5:$A$203,0)),"KOD HATALI"))</x:f>
      </x:c>
      <x:c r="U25" s="36" t="str">
        <x:f>IF(S25="","",IFERROR(INDEX('02_Öğrenciler'!$C$5:$C$203,MATCH(S25,'02_Öğrenciler'!$A$5:$A$203,0)),""))</x:f>
      </x:c>
      <x:c r="V25" s="132" t="str">
        <x:f>IF(C25="","",C25)</x:f>
      </x:c>
      <x:c r="W25" s="36" t="str">
        <x:f>IF(D25="","",D25)</x:f>
      </x:c>
      <x:c r="X25" s="36" t="str">
        <x:f>IF(E25="","",E25)</x:f>
      </x:c>
      <x:c r="Y25" s="36" t="str">
        <x:f>IF(F25="","",F25)</x:f>
      </x:c>
      <x:c r="Z25" s="36" t="str">
        <x:f>IF(G25="","",G25)</x:f>
      </x:c>
      <x:c r="AA25" s="36" t="str">
        <x:f>IF(OR(Y25="",Z25=""),"",Y25-Z25)</x:f>
      </x:c>
      <x:c r="AB25" s="52" t="str">
        <x:f>IF(OR(Y25="",Z25=""),"",IFERROR(Z25/Y25,0))</x:f>
      </x:c>
      <x:c r="AC25" s="36" t="str">
        <x:f>IF(H25="","",H25)</x:f>
      </x:c>
      <x:c r="AD25" s="132" t="str">
        <x:f>IF(I25="","",I25)</x:f>
      </x:c>
      <x:c r="AE25" s="36" t="str">
        <x:f>IF(J25="","",J25)</x:f>
      </x:c>
      <x:c r="AF25" s="36" t="str">
        <x:f>IF(K25="","",K25)</x:f>
      </x:c>
      <x:c r="AG25" s="36" t="str">
        <x:f>IF(L25="","",L25)</x:f>
      </x:c>
      <x:c r="AH25" s="36" t="str">
        <x:f>IF(M25="","",M25)</x:f>
      </x:c>
      <x:c r="AI25" s="36" t="str">
        <x:f>IF(N25="","",N25)</x:f>
      </x:c>
      <x:c r="AJ25" s="36" t="str">
        <x:f>IF(O25="","",O25)</x:f>
      </x:c>
      <x:c r="AK25" s="36" t="str">
        <x:f>IF(P25="","",P25)</x:f>
      </x:c>
      <x:c r="AL25" s="36" t="str">
        <x:f>IF(R25="","",TEXT(R25,"yyyymmddhhmmss")&amp;"-"&amp;S25&amp;"-"&amp;TEXT(ROW()-4,"0000"))</x:f>
      </x:c>
      <x:c r="AM25" s="36" t="str">
        <x:f>IF(R25="","",IF(T25="KOD HATALI","Öğrenci Kodu Hatalı",IF(OR(V25="",W25="",X25="",Y25="",Z25="",AF25="",AG25="",AJ25="",AK25=""),"Eksik Zorunlu Alan",IF(OR(Y25&lt;0,Z25&lt;0,Z25&gt;Y25),"Soru Sayısı Hatası",IF(AND(AD25&lt;&gt;"",AD25&lt;V25),"Ödev Tarihi Hatası",IF(COUNTIF($AL$5:AL25,AL25)&gt;1,"Mükerrer Form Kaydı","Aktarıma Hazır"))))))</x:f>
      </x:c>
      <x:c r="AN25" s="30"/>
      <x:c r="AO25" s="40"/>
      <x:c r="AP25" s="30"/>
    </x:row>
    <x:row r="26">
      <x:c r="A26" s="158"/>
      <x:c r="B26" s="44"/>
      <x:c r="C26" s="40"/>
      <x:c r="D26" s="30"/>
      <x:c r="E26" s="30"/>
      <x:c r="F26" s="30"/>
      <x:c r="G26" s="30"/>
      <x:c r="H26" s="30"/>
      <x:c r="I26" s="40"/>
      <x:c r="J26" s="30"/>
      <x:c r="K26" s="30"/>
      <x:c r="L26" s="30"/>
      <x:c r="M26" s="30"/>
      <x:c r="N26" s="30"/>
      <x:c r="O26" s="30"/>
      <x:c r="P26" s="30"/>
      <x:c r="R26" s="160" t="str">
        <x:f>IF(A26="","",A26)</x:f>
      </x:c>
      <x:c r="S26" s="126" t="str">
        <x:f>IF(B26="","",B26)</x:f>
      </x:c>
      <x:c r="T26" s="36" t="str">
        <x:f>IF(S26="","",IFERROR(INDEX('02_Öğrenciler'!$B$5:$B$203,MATCH(S26,'02_Öğrenciler'!$A$5:$A$203,0)),"KOD HATALI"))</x:f>
      </x:c>
      <x:c r="U26" s="36" t="str">
        <x:f>IF(S26="","",IFERROR(INDEX('02_Öğrenciler'!$C$5:$C$203,MATCH(S26,'02_Öğrenciler'!$A$5:$A$203,0)),""))</x:f>
      </x:c>
      <x:c r="V26" s="132" t="str">
        <x:f>IF(C26="","",C26)</x:f>
      </x:c>
      <x:c r="W26" s="36" t="str">
        <x:f>IF(D26="","",D26)</x:f>
      </x:c>
      <x:c r="X26" s="36" t="str">
        <x:f>IF(E26="","",E26)</x:f>
      </x:c>
      <x:c r="Y26" s="36" t="str">
        <x:f>IF(F26="","",F26)</x:f>
      </x:c>
      <x:c r="Z26" s="36" t="str">
        <x:f>IF(G26="","",G26)</x:f>
      </x:c>
      <x:c r="AA26" s="36" t="str">
        <x:f>IF(OR(Y26="",Z26=""),"",Y26-Z26)</x:f>
      </x:c>
      <x:c r="AB26" s="52" t="str">
        <x:f>IF(OR(Y26="",Z26=""),"",IFERROR(Z26/Y26,0))</x:f>
      </x:c>
      <x:c r="AC26" s="36" t="str">
        <x:f>IF(H26="","",H26)</x:f>
      </x:c>
      <x:c r="AD26" s="132" t="str">
        <x:f>IF(I26="","",I26)</x:f>
      </x:c>
      <x:c r="AE26" s="36" t="str">
        <x:f>IF(J26="","",J26)</x:f>
      </x:c>
      <x:c r="AF26" s="36" t="str">
        <x:f>IF(K26="","",K26)</x:f>
      </x:c>
      <x:c r="AG26" s="36" t="str">
        <x:f>IF(L26="","",L26)</x:f>
      </x:c>
      <x:c r="AH26" s="36" t="str">
        <x:f>IF(M26="","",M26)</x:f>
      </x:c>
      <x:c r="AI26" s="36" t="str">
        <x:f>IF(N26="","",N26)</x:f>
      </x:c>
      <x:c r="AJ26" s="36" t="str">
        <x:f>IF(O26="","",O26)</x:f>
      </x:c>
      <x:c r="AK26" s="36" t="str">
        <x:f>IF(P26="","",P26)</x:f>
      </x:c>
      <x:c r="AL26" s="36" t="str">
        <x:f>IF(R26="","",TEXT(R26,"yyyymmddhhmmss")&amp;"-"&amp;S26&amp;"-"&amp;TEXT(ROW()-4,"0000"))</x:f>
      </x:c>
      <x:c r="AM26" s="36" t="str">
        <x:f>IF(R26="","",IF(T26="KOD HATALI","Öğrenci Kodu Hatalı",IF(OR(V26="",W26="",X26="",Y26="",Z26="",AF26="",AG26="",AJ26="",AK26=""),"Eksik Zorunlu Alan",IF(OR(Y26&lt;0,Z26&lt;0,Z26&gt;Y26),"Soru Sayısı Hatası",IF(AND(AD26&lt;&gt;"",AD26&lt;V26),"Ödev Tarihi Hatası",IF(COUNTIF($AL$5:AL26,AL26)&gt;1,"Mükerrer Form Kaydı","Aktarıma Hazır"))))))</x:f>
      </x:c>
      <x:c r="AN26" s="30"/>
      <x:c r="AO26" s="40"/>
      <x:c r="AP26" s="30"/>
    </x:row>
    <x:row r="27">
      <x:c r="A27" s="158"/>
      <x:c r="B27" s="44"/>
      <x:c r="C27" s="40"/>
      <x:c r="D27" s="30"/>
      <x:c r="E27" s="30"/>
      <x:c r="F27" s="30"/>
      <x:c r="G27" s="30"/>
      <x:c r="H27" s="30"/>
      <x:c r="I27" s="40"/>
      <x:c r="J27" s="30"/>
      <x:c r="K27" s="30"/>
      <x:c r="L27" s="30"/>
      <x:c r="M27" s="30"/>
      <x:c r="N27" s="30"/>
      <x:c r="O27" s="30"/>
      <x:c r="P27" s="30"/>
      <x:c r="R27" s="160" t="str">
        <x:f>IF(A27="","",A27)</x:f>
      </x:c>
      <x:c r="S27" s="126" t="str">
        <x:f>IF(B27="","",B27)</x:f>
      </x:c>
      <x:c r="T27" s="36" t="str">
        <x:f>IF(S27="","",IFERROR(INDEX('02_Öğrenciler'!$B$5:$B$203,MATCH(S27,'02_Öğrenciler'!$A$5:$A$203,0)),"KOD HATALI"))</x:f>
      </x:c>
      <x:c r="U27" s="36" t="str">
        <x:f>IF(S27="","",IFERROR(INDEX('02_Öğrenciler'!$C$5:$C$203,MATCH(S27,'02_Öğrenciler'!$A$5:$A$203,0)),""))</x:f>
      </x:c>
      <x:c r="V27" s="132" t="str">
        <x:f>IF(C27="","",C27)</x:f>
      </x:c>
      <x:c r="W27" s="36" t="str">
        <x:f>IF(D27="","",D27)</x:f>
      </x:c>
      <x:c r="X27" s="36" t="str">
        <x:f>IF(E27="","",E27)</x:f>
      </x:c>
      <x:c r="Y27" s="36" t="str">
        <x:f>IF(F27="","",F27)</x:f>
      </x:c>
      <x:c r="Z27" s="36" t="str">
        <x:f>IF(G27="","",G27)</x:f>
      </x:c>
      <x:c r="AA27" s="36" t="str">
        <x:f>IF(OR(Y27="",Z27=""),"",Y27-Z27)</x:f>
      </x:c>
      <x:c r="AB27" s="52" t="str">
        <x:f>IF(OR(Y27="",Z27=""),"",IFERROR(Z27/Y27,0))</x:f>
      </x:c>
      <x:c r="AC27" s="36" t="str">
        <x:f>IF(H27="","",H27)</x:f>
      </x:c>
      <x:c r="AD27" s="132" t="str">
        <x:f>IF(I27="","",I27)</x:f>
      </x:c>
      <x:c r="AE27" s="36" t="str">
        <x:f>IF(J27="","",J27)</x:f>
      </x:c>
      <x:c r="AF27" s="36" t="str">
        <x:f>IF(K27="","",K27)</x:f>
      </x:c>
      <x:c r="AG27" s="36" t="str">
        <x:f>IF(L27="","",L27)</x:f>
      </x:c>
      <x:c r="AH27" s="36" t="str">
        <x:f>IF(M27="","",M27)</x:f>
      </x:c>
      <x:c r="AI27" s="36" t="str">
        <x:f>IF(N27="","",N27)</x:f>
      </x:c>
      <x:c r="AJ27" s="36" t="str">
        <x:f>IF(O27="","",O27)</x:f>
      </x:c>
      <x:c r="AK27" s="36" t="str">
        <x:f>IF(P27="","",P27)</x:f>
      </x:c>
      <x:c r="AL27" s="36" t="str">
        <x:f>IF(R27="","",TEXT(R27,"yyyymmddhhmmss")&amp;"-"&amp;S27&amp;"-"&amp;TEXT(ROW()-4,"0000"))</x:f>
      </x:c>
      <x:c r="AM27" s="36" t="str">
        <x:f>IF(R27="","",IF(T27="KOD HATALI","Öğrenci Kodu Hatalı",IF(OR(V27="",W27="",X27="",Y27="",Z27="",AF27="",AG27="",AJ27="",AK27=""),"Eksik Zorunlu Alan",IF(OR(Y27&lt;0,Z27&lt;0,Z27&gt;Y27),"Soru Sayısı Hatası",IF(AND(AD27&lt;&gt;"",AD27&lt;V27),"Ödev Tarihi Hatası",IF(COUNTIF($AL$5:AL27,AL27)&gt;1,"Mükerrer Form Kaydı","Aktarıma Hazır"))))))</x:f>
      </x:c>
      <x:c r="AN27" s="30"/>
      <x:c r="AO27" s="40"/>
      <x:c r="AP27" s="30"/>
    </x:row>
    <x:row r="28">
      <x:c r="A28" s="158"/>
      <x:c r="B28" s="44"/>
      <x:c r="C28" s="40"/>
      <x:c r="D28" s="30"/>
      <x:c r="E28" s="30"/>
      <x:c r="F28" s="30"/>
      <x:c r="G28" s="30"/>
      <x:c r="H28" s="30"/>
      <x:c r="I28" s="40"/>
      <x:c r="J28" s="30"/>
      <x:c r="K28" s="30"/>
      <x:c r="L28" s="30"/>
      <x:c r="M28" s="30"/>
      <x:c r="N28" s="30"/>
      <x:c r="O28" s="30"/>
      <x:c r="P28" s="30"/>
      <x:c r="R28" s="160" t="str">
        <x:f>IF(A28="","",A28)</x:f>
      </x:c>
      <x:c r="S28" s="126" t="str">
        <x:f>IF(B28="","",B28)</x:f>
      </x:c>
      <x:c r="T28" s="36" t="str">
        <x:f>IF(S28="","",IFERROR(INDEX('02_Öğrenciler'!$B$5:$B$203,MATCH(S28,'02_Öğrenciler'!$A$5:$A$203,0)),"KOD HATALI"))</x:f>
      </x:c>
      <x:c r="U28" s="36" t="str">
        <x:f>IF(S28="","",IFERROR(INDEX('02_Öğrenciler'!$C$5:$C$203,MATCH(S28,'02_Öğrenciler'!$A$5:$A$203,0)),""))</x:f>
      </x:c>
      <x:c r="V28" s="132" t="str">
        <x:f>IF(C28="","",C28)</x:f>
      </x:c>
      <x:c r="W28" s="36" t="str">
        <x:f>IF(D28="","",D28)</x:f>
      </x:c>
      <x:c r="X28" s="36" t="str">
        <x:f>IF(E28="","",E28)</x:f>
      </x:c>
      <x:c r="Y28" s="36" t="str">
        <x:f>IF(F28="","",F28)</x:f>
      </x:c>
      <x:c r="Z28" s="36" t="str">
        <x:f>IF(G28="","",G28)</x:f>
      </x:c>
      <x:c r="AA28" s="36" t="str">
        <x:f>IF(OR(Y28="",Z28=""),"",Y28-Z28)</x:f>
      </x:c>
      <x:c r="AB28" s="52" t="str">
        <x:f>IF(OR(Y28="",Z28=""),"",IFERROR(Z28/Y28,0))</x:f>
      </x:c>
      <x:c r="AC28" s="36" t="str">
        <x:f>IF(H28="","",H28)</x:f>
      </x:c>
      <x:c r="AD28" s="132" t="str">
        <x:f>IF(I28="","",I28)</x:f>
      </x:c>
      <x:c r="AE28" s="36" t="str">
        <x:f>IF(J28="","",J28)</x:f>
      </x:c>
      <x:c r="AF28" s="36" t="str">
        <x:f>IF(K28="","",K28)</x:f>
      </x:c>
      <x:c r="AG28" s="36" t="str">
        <x:f>IF(L28="","",L28)</x:f>
      </x:c>
      <x:c r="AH28" s="36" t="str">
        <x:f>IF(M28="","",M28)</x:f>
      </x:c>
      <x:c r="AI28" s="36" t="str">
        <x:f>IF(N28="","",N28)</x:f>
      </x:c>
      <x:c r="AJ28" s="36" t="str">
        <x:f>IF(O28="","",O28)</x:f>
      </x:c>
      <x:c r="AK28" s="36" t="str">
        <x:f>IF(P28="","",P28)</x:f>
      </x:c>
      <x:c r="AL28" s="36" t="str">
        <x:f>IF(R28="","",TEXT(R28,"yyyymmddhhmmss")&amp;"-"&amp;S28&amp;"-"&amp;TEXT(ROW()-4,"0000"))</x:f>
      </x:c>
      <x:c r="AM28" s="36" t="str">
        <x:f>IF(R28="","",IF(T28="KOD HATALI","Öğrenci Kodu Hatalı",IF(OR(V28="",W28="",X28="",Y28="",Z28="",AF28="",AG28="",AJ28="",AK28=""),"Eksik Zorunlu Alan",IF(OR(Y28&lt;0,Z28&lt;0,Z28&gt;Y28),"Soru Sayısı Hatası",IF(AND(AD28&lt;&gt;"",AD28&lt;V28),"Ödev Tarihi Hatası",IF(COUNTIF($AL$5:AL28,AL28)&gt;1,"Mükerrer Form Kaydı","Aktarıma Hazır"))))))</x:f>
      </x:c>
      <x:c r="AN28" s="30"/>
      <x:c r="AO28" s="40"/>
      <x:c r="AP28" s="30"/>
    </x:row>
    <x:row r="29">
      <x:c r="A29" s="158"/>
      <x:c r="B29" s="44"/>
      <x:c r="C29" s="40"/>
      <x:c r="D29" s="30"/>
      <x:c r="E29" s="30"/>
      <x:c r="F29" s="30"/>
      <x:c r="G29" s="30"/>
      <x:c r="H29" s="30"/>
      <x:c r="I29" s="40"/>
      <x:c r="J29" s="30"/>
      <x:c r="K29" s="30"/>
      <x:c r="L29" s="30"/>
      <x:c r="M29" s="30"/>
      <x:c r="N29" s="30"/>
      <x:c r="O29" s="30"/>
      <x:c r="P29" s="30"/>
      <x:c r="R29" s="160" t="str">
        <x:f>IF(A29="","",A29)</x:f>
      </x:c>
      <x:c r="S29" s="126" t="str">
        <x:f>IF(B29="","",B29)</x:f>
      </x:c>
      <x:c r="T29" s="36" t="str">
        <x:f>IF(S29="","",IFERROR(INDEX('02_Öğrenciler'!$B$5:$B$203,MATCH(S29,'02_Öğrenciler'!$A$5:$A$203,0)),"KOD HATALI"))</x:f>
      </x:c>
      <x:c r="U29" s="36" t="str">
        <x:f>IF(S29="","",IFERROR(INDEX('02_Öğrenciler'!$C$5:$C$203,MATCH(S29,'02_Öğrenciler'!$A$5:$A$203,0)),""))</x:f>
      </x:c>
      <x:c r="V29" s="132" t="str">
        <x:f>IF(C29="","",C29)</x:f>
      </x:c>
      <x:c r="W29" s="36" t="str">
        <x:f>IF(D29="","",D29)</x:f>
      </x:c>
      <x:c r="X29" s="36" t="str">
        <x:f>IF(E29="","",E29)</x:f>
      </x:c>
      <x:c r="Y29" s="36" t="str">
        <x:f>IF(F29="","",F29)</x:f>
      </x:c>
      <x:c r="Z29" s="36" t="str">
        <x:f>IF(G29="","",G29)</x:f>
      </x:c>
      <x:c r="AA29" s="36" t="str">
        <x:f>IF(OR(Y29="",Z29=""),"",Y29-Z29)</x:f>
      </x:c>
      <x:c r="AB29" s="52" t="str">
        <x:f>IF(OR(Y29="",Z29=""),"",IFERROR(Z29/Y29,0))</x:f>
      </x:c>
      <x:c r="AC29" s="36" t="str">
        <x:f>IF(H29="","",H29)</x:f>
      </x:c>
      <x:c r="AD29" s="132" t="str">
        <x:f>IF(I29="","",I29)</x:f>
      </x:c>
      <x:c r="AE29" s="36" t="str">
        <x:f>IF(J29="","",J29)</x:f>
      </x:c>
      <x:c r="AF29" s="36" t="str">
        <x:f>IF(K29="","",K29)</x:f>
      </x:c>
      <x:c r="AG29" s="36" t="str">
        <x:f>IF(L29="","",L29)</x:f>
      </x:c>
      <x:c r="AH29" s="36" t="str">
        <x:f>IF(M29="","",M29)</x:f>
      </x:c>
      <x:c r="AI29" s="36" t="str">
        <x:f>IF(N29="","",N29)</x:f>
      </x:c>
      <x:c r="AJ29" s="36" t="str">
        <x:f>IF(O29="","",O29)</x:f>
      </x:c>
      <x:c r="AK29" s="36" t="str">
        <x:f>IF(P29="","",P29)</x:f>
      </x:c>
      <x:c r="AL29" s="36" t="str">
        <x:f>IF(R29="","",TEXT(R29,"yyyymmddhhmmss")&amp;"-"&amp;S29&amp;"-"&amp;TEXT(ROW()-4,"0000"))</x:f>
      </x:c>
      <x:c r="AM29" s="36" t="str">
        <x:f>IF(R29="","",IF(T29="KOD HATALI","Öğrenci Kodu Hatalı",IF(OR(V29="",W29="",X29="",Y29="",Z29="",AF29="",AG29="",AJ29="",AK29=""),"Eksik Zorunlu Alan",IF(OR(Y29&lt;0,Z29&lt;0,Z29&gt;Y29),"Soru Sayısı Hatası",IF(AND(AD29&lt;&gt;"",AD29&lt;V29),"Ödev Tarihi Hatası",IF(COUNTIF($AL$5:AL29,AL29)&gt;1,"Mükerrer Form Kaydı","Aktarıma Hazır"))))))</x:f>
      </x:c>
      <x:c r="AN29" s="30"/>
      <x:c r="AO29" s="40"/>
      <x:c r="AP29" s="30"/>
    </x:row>
    <x:row r="30">
      <x:c r="A30" s="158"/>
      <x:c r="B30" s="44"/>
      <x:c r="C30" s="40"/>
      <x:c r="D30" s="30"/>
      <x:c r="E30" s="30"/>
      <x:c r="F30" s="30"/>
      <x:c r="G30" s="30"/>
      <x:c r="H30" s="30"/>
      <x:c r="I30" s="40"/>
      <x:c r="J30" s="30"/>
      <x:c r="K30" s="30"/>
      <x:c r="L30" s="30"/>
      <x:c r="M30" s="30"/>
      <x:c r="N30" s="30"/>
      <x:c r="O30" s="30"/>
      <x:c r="P30" s="30"/>
      <x:c r="R30" s="160" t="str">
        <x:f>IF(A30="","",A30)</x:f>
      </x:c>
      <x:c r="S30" s="126" t="str">
        <x:f>IF(B30="","",B30)</x:f>
      </x:c>
      <x:c r="T30" s="36" t="str">
        <x:f>IF(S30="","",IFERROR(INDEX('02_Öğrenciler'!$B$5:$B$203,MATCH(S30,'02_Öğrenciler'!$A$5:$A$203,0)),"KOD HATALI"))</x:f>
      </x:c>
      <x:c r="U30" s="36" t="str">
        <x:f>IF(S30="","",IFERROR(INDEX('02_Öğrenciler'!$C$5:$C$203,MATCH(S30,'02_Öğrenciler'!$A$5:$A$203,0)),""))</x:f>
      </x:c>
      <x:c r="V30" s="132" t="str">
        <x:f>IF(C30="","",C30)</x:f>
      </x:c>
      <x:c r="W30" s="36" t="str">
        <x:f>IF(D30="","",D30)</x:f>
      </x:c>
      <x:c r="X30" s="36" t="str">
        <x:f>IF(E30="","",E30)</x:f>
      </x:c>
      <x:c r="Y30" s="36" t="str">
        <x:f>IF(F30="","",F30)</x:f>
      </x:c>
      <x:c r="Z30" s="36" t="str">
        <x:f>IF(G30="","",G30)</x:f>
      </x:c>
      <x:c r="AA30" s="36" t="str">
        <x:f>IF(OR(Y30="",Z30=""),"",Y30-Z30)</x:f>
      </x:c>
      <x:c r="AB30" s="52" t="str">
        <x:f>IF(OR(Y30="",Z30=""),"",IFERROR(Z30/Y30,0))</x:f>
      </x:c>
      <x:c r="AC30" s="36" t="str">
        <x:f>IF(H30="","",H30)</x:f>
      </x:c>
      <x:c r="AD30" s="132" t="str">
        <x:f>IF(I30="","",I30)</x:f>
      </x:c>
      <x:c r="AE30" s="36" t="str">
        <x:f>IF(J30="","",J30)</x:f>
      </x:c>
      <x:c r="AF30" s="36" t="str">
        <x:f>IF(K30="","",K30)</x:f>
      </x:c>
      <x:c r="AG30" s="36" t="str">
        <x:f>IF(L30="","",L30)</x:f>
      </x:c>
      <x:c r="AH30" s="36" t="str">
        <x:f>IF(M30="","",M30)</x:f>
      </x:c>
      <x:c r="AI30" s="36" t="str">
        <x:f>IF(N30="","",N30)</x:f>
      </x:c>
      <x:c r="AJ30" s="36" t="str">
        <x:f>IF(O30="","",O30)</x:f>
      </x:c>
      <x:c r="AK30" s="36" t="str">
        <x:f>IF(P30="","",P30)</x:f>
      </x:c>
      <x:c r="AL30" s="36" t="str">
        <x:f>IF(R30="","",TEXT(R30,"yyyymmddhhmmss")&amp;"-"&amp;S30&amp;"-"&amp;TEXT(ROW()-4,"0000"))</x:f>
      </x:c>
      <x:c r="AM30" s="36" t="str">
        <x:f>IF(R30="","",IF(T30="KOD HATALI","Öğrenci Kodu Hatalı",IF(OR(V30="",W30="",X30="",Y30="",Z30="",AF30="",AG30="",AJ30="",AK30=""),"Eksik Zorunlu Alan",IF(OR(Y30&lt;0,Z30&lt;0,Z30&gt;Y30),"Soru Sayısı Hatası",IF(AND(AD30&lt;&gt;"",AD30&lt;V30),"Ödev Tarihi Hatası",IF(COUNTIF($AL$5:AL30,AL30)&gt;1,"Mükerrer Form Kaydı","Aktarıma Hazır"))))))</x:f>
      </x:c>
      <x:c r="AN30" s="30"/>
      <x:c r="AO30" s="40"/>
      <x:c r="AP30" s="30"/>
    </x:row>
    <x:row r="31">
      <x:c r="A31" s="158"/>
      <x:c r="B31" s="44"/>
      <x:c r="C31" s="40"/>
      <x:c r="D31" s="30"/>
      <x:c r="E31" s="30"/>
      <x:c r="F31" s="30"/>
      <x:c r="G31" s="30"/>
      <x:c r="H31" s="30"/>
      <x:c r="I31" s="40"/>
      <x:c r="J31" s="30"/>
      <x:c r="K31" s="30"/>
      <x:c r="L31" s="30"/>
      <x:c r="M31" s="30"/>
      <x:c r="N31" s="30"/>
      <x:c r="O31" s="30"/>
      <x:c r="P31" s="30"/>
      <x:c r="R31" s="160" t="str">
        <x:f>IF(A31="","",A31)</x:f>
      </x:c>
      <x:c r="S31" s="126" t="str">
        <x:f>IF(B31="","",B31)</x:f>
      </x:c>
      <x:c r="T31" s="36" t="str">
        <x:f>IF(S31="","",IFERROR(INDEX('02_Öğrenciler'!$B$5:$B$203,MATCH(S31,'02_Öğrenciler'!$A$5:$A$203,0)),"KOD HATALI"))</x:f>
      </x:c>
      <x:c r="U31" s="36" t="str">
        <x:f>IF(S31="","",IFERROR(INDEX('02_Öğrenciler'!$C$5:$C$203,MATCH(S31,'02_Öğrenciler'!$A$5:$A$203,0)),""))</x:f>
      </x:c>
      <x:c r="V31" s="132" t="str">
        <x:f>IF(C31="","",C31)</x:f>
      </x:c>
      <x:c r="W31" s="36" t="str">
        <x:f>IF(D31="","",D31)</x:f>
      </x:c>
      <x:c r="X31" s="36" t="str">
        <x:f>IF(E31="","",E31)</x:f>
      </x:c>
      <x:c r="Y31" s="36" t="str">
        <x:f>IF(F31="","",F31)</x:f>
      </x:c>
      <x:c r="Z31" s="36" t="str">
        <x:f>IF(G31="","",G31)</x:f>
      </x:c>
      <x:c r="AA31" s="36" t="str">
        <x:f>IF(OR(Y31="",Z31=""),"",Y31-Z31)</x:f>
      </x:c>
      <x:c r="AB31" s="52" t="str">
        <x:f>IF(OR(Y31="",Z31=""),"",IFERROR(Z31/Y31,0))</x:f>
      </x:c>
      <x:c r="AC31" s="36" t="str">
        <x:f>IF(H31="","",H31)</x:f>
      </x:c>
      <x:c r="AD31" s="132" t="str">
        <x:f>IF(I31="","",I31)</x:f>
      </x:c>
      <x:c r="AE31" s="36" t="str">
        <x:f>IF(J31="","",J31)</x:f>
      </x:c>
      <x:c r="AF31" s="36" t="str">
        <x:f>IF(K31="","",K31)</x:f>
      </x:c>
      <x:c r="AG31" s="36" t="str">
        <x:f>IF(L31="","",L31)</x:f>
      </x:c>
      <x:c r="AH31" s="36" t="str">
        <x:f>IF(M31="","",M31)</x:f>
      </x:c>
      <x:c r="AI31" s="36" t="str">
        <x:f>IF(N31="","",N31)</x:f>
      </x:c>
      <x:c r="AJ31" s="36" t="str">
        <x:f>IF(O31="","",O31)</x:f>
      </x:c>
      <x:c r="AK31" s="36" t="str">
        <x:f>IF(P31="","",P31)</x:f>
      </x:c>
      <x:c r="AL31" s="36" t="str">
        <x:f>IF(R31="","",TEXT(R31,"yyyymmddhhmmss")&amp;"-"&amp;S31&amp;"-"&amp;TEXT(ROW()-4,"0000"))</x:f>
      </x:c>
      <x:c r="AM31" s="36" t="str">
        <x:f>IF(R31="","",IF(T31="KOD HATALI","Öğrenci Kodu Hatalı",IF(OR(V31="",W31="",X31="",Y31="",Z31="",AF31="",AG31="",AJ31="",AK31=""),"Eksik Zorunlu Alan",IF(OR(Y31&lt;0,Z31&lt;0,Z31&gt;Y31),"Soru Sayısı Hatası",IF(AND(AD31&lt;&gt;"",AD31&lt;V31),"Ödev Tarihi Hatası",IF(COUNTIF($AL$5:AL31,AL31)&gt;1,"Mükerrer Form Kaydı","Aktarıma Hazır"))))))</x:f>
      </x:c>
      <x:c r="AN31" s="30"/>
      <x:c r="AO31" s="40"/>
      <x:c r="AP31" s="30"/>
    </x:row>
    <x:row r="32">
      <x:c r="A32" s="158"/>
      <x:c r="B32" s="44"/>
      <x:c r="C32" s="40"/>
      <x:c r="D32" s="30"/>
      <x:c r="E32" s="30"/>
      <x:c r="F32" s="30"/>
      <x:c r="G32" s="30"/>
      <x:c r="H32" s="30"/>
      <x:c r="I32" s="40"/>
      <x:c r="J32" s="30"/>
      <x:c r="K32" s="30"/>
      <x:c r="L32" s="30"/>
      <x:c r="M32" s="30"/>
      <x:c r="N32" s="30"/>
      <x:c r="O32" s="30"/>
      <x:c r="P32" s="30"/>
      <x:c r="R32" s="160" t="str">
        <x:f>IF(A32="","",A32)</x:f>
      </x:c>
      <x:c r="S32" s="126" t="str">
        <x:f>IF(B32="","",B32)</x:f>
      </x:c>
      <x:c r="T32" s="36" t="str">
        <x:f>IF(S32="","",IFERROR(INDEX('02_Öğrenciler'!$B$5:$B$203,MATCH(S32,'02_Öğrenciler'!$A$5:$A$203,0)),"KOD HATALI"))</x:f>
      </x:c>
      <x:c r="U32" s="36" t="str">
        <x:f>IF(S32="","",IFERROR(INDEX('02_Öğrenciler'!$C$5:$C$203,MATCH(S32,'02_Öğrenciler'!$A$5:$A$203,0)),""))</x:f>
      </x:c>
      <x:c r="V32" s="132" t="str">
        <x:f>IF(C32="","",C32)</x:f>
      </x:c>
      <x:c r="W32" s="36" t="str">
        <x:f>IF(D32="","",D32)</x:f>
      </x:c>
      <x:c r="X32" s="36" t="str">
        <x:f>IF(E32="","",E32)</x:f>
      </x:c>
      <x:c r="Y32" s="36" t="str">
        <x:f>IF(F32="","",F32)</x:f>
      </x:c>
      <x:c r="Z32" s="36" t="str">
        <x:f>IF(G32="","",G32)</x:f>
      </x:c>
      <x:c r="AA32" s="36" t="str">
        <x:f>IF(OR(Y32="",Z32=""),"",Y32-Z32)</x:f>
      </x:c>
      <x:c r="AB32" s="52" t="str">
        <x:f>IF(OR(Y32="",Z32=""),"",IFERROR(Z32/Y32,0))</x:f>
      </x:c>
      <x:c r="AC32" s="36" t="str">
        <x:f>IF(H32="","",H32)</x:f>
      </x:c>
      <x:c r="AD32" s="132" t="str">
        <x:f>IF(I32="","",I32)</x:f>
      </x:c>
      <x:c r="AE32" s="36" t="str">
        <x:f>IF(J32="","",J32)</x:f>
      </x:c>
      <x:c r="AF32" s="36" t="str">
        <x:f>IF(K32="","",K32)</x:f>
      </x:c>
      <x:c r="AG32" s="36" t="str">
        <x:f>IF(L32="","",L32)</x:f>
      </x:c>
      <x:c r="AH32" s="36" t="str">
        <x:f>IF(M32="","",M32)</x:f>
      </x:c>
      <x:c r="AI32" s="36" t="str">
        <x:f>IF(N32="","",N32)</x:f>
      </x:c>
      <x:c r="AJ32" s="36" t="str">
        <x:f>IF(O32="","",O32)</x:f>
      </x:c>
      <x:c r="AK32" s="36" t="str">
        <x:f>IF(P32="","",P32)</x:f>
      </x:c>
      <x:c r="AL32" s="36" t="str">
        <x:f>IF(R32="","",TEXT(R32,"yyyymmddhhmmss")&amp;"-"&amp;S32&amp;"-"&amp;TEXT(ROW()-4,"0000"))</x:f>
      </x:c>
      <x:c r="AM32" s="36" t="str">
        <x:f>IF(R32="","",IF(T32="KOD HATALI","Öğrenci Kodu Hatalı",IF(OR(V32="",W32="",X32="",Y32="",Z32="",AF32="",AG32="",AJ32="",AK32=""),"Eksik Zorunlu Alan",IF(OR(Y32&lt;0,Z32&lt;0,Z32&gt;Y32),"Soru Sayısı Hatası",IF(AND(AD32&lt;&gt;"",AD32&lt;V32),"Ödev Tarihi Hatası",IF(COUNTIF($AL$5:AL32,AL32)&gt;1,"Mükerrer Form Kaydı","Aktarıma Hazır"))))))</x:f>
      </x:c>
      <x:c r="AN32" s="30"/>
      <x:c r="AO32" s="40"/>
      <x:c r="AP32" s="30"/>
    </x:row>
    <x:row r="33">
      <x:c r="A33" s="158"/>
      <x:c r="B33" s="44"/>
      <x:c r="C33" s="40"/>
      <x:c r="D33" s="30"/>
      <x:c r="E33" s="30"/>
      <x:c r="F33" s="30"/>
      <x:c r="G33" s="30"/>
      <x:c r="H33" s="30"/>
      <x:c r="I33" s="40"/>
      <x:c r="J33" s="30"/>
      <x:c r="K33" s="30"/>
      <x:c r="L33" s="30"/>
      <x:c r="M33" s="30"/>
      <x:c r="N33" s="30"/>
      <x:c r="O33" s="30"/>
      <x:c r="P33" s="30"/>
      <x:c r="R33" s="160" t="str">
        <x:f>IF(A33="","",A33)</x:f>
      </x:c>
      <x:c r="S33" s="126" t="str">
        <x:f>IF(B33="","",B33)</x:f>
      </x:c>
      <x:c r="T33" s="36" t="str">
        <x:f>IF(S33="","",IFERROR(INDEX('02_Öğrenciler'!$B$5:$B$203,MATCH(S33,'02_Öğrenciler'!$A$5:$A$203,0)),"KOD HATALI"))</x:f>
      </x:c>
      <x:c r="U33" s="36" t="str">
        <x:f>IF(S33="","",IFERROR(INDEX('02_Öğrenciler'!$C$5:$C$203,MATCH(S33,'02_Öğrenciler'!$A$5:$A$203,0)),""))</x:f>
      </x:c>
      <x:c r="V33" s="132" t="str">
        <x:f>IF(C33="","",C33)</x:f>
      </x:c>
      <x:c r="W33" s="36" t="str">
        <x:f>IF(D33="","",D33)</x:f>
      </x:c>
      <x:c r="X33" s="36" t="str">
        <x:f>IF(E33="","",E33)</x:f>
      </x:c>
      <x:c r="Y33" s="36" t="str">
        <x:f>IF(F33="","",F33)</x:f>
      </x:c>
      <x:c r="Z33" s="36" t="str">
        <x:f>IF(G33="","",G33)</x:f>
      </x:c>
      <x:c r="AA33" s="36" t="str">
        <x:f>IF(OR(Y33="",Z33=""),"",Y33-Z33)</x:f>
      </x:c>
      <x:c r="AB33" s="52" t="str">
        <x:f>IF(OR(Y33="",Z33=""),"",IFERROR(Z33/Y33,0))</x:f>
      </x:c>
      <x:c r="AC33" s="36" t="str">
        <x:f>IF(H33="","",H33)</x:f>
      </x:c>
      <x:c r="AD33" s="132" t="str">
        <x:f>IF(I33="","",I33)</x:f>
      </x:c>
      <x:c r="AE33" s="36" t="str">
        <x:f>IF(J33="","",J33)</x:f>
      </x:c>
      <x:c r="AF33" s="36" t="str">
        <x:f>IF(K33="","",K33)</x:f>
      </x:c>
      <x:c r="AG33" s="36" t="str">
        <x:f>IF(L33="","",L33)</x:f>
      </x:c>
      <x:c r="AH33" s="36" t="str">
        <x:f>IF(M33="","",M33)</x:f>
      </x:c>
      <x:c r="AI33" s="36" t="str">
        <x:f>IF(N33="","",N33)</x:f>
      </x:c>
      <x:c r="AJ33" s="36" t="str">
        <x:f>IF(O33="","",O33)</x:f>
      </x:c>
      <x:c r="AK33" s="36" t="str">
        <x:f>IF(P33="","",P33)</x:f>
      </x:c>
      <x:c r="AL33" s="36" t="str">
        <x:f>IF(R33="","",TEXT(R33,"yyyymmddhhmmss")&amp;"-"&amp;S33&amp;"-"&amp;TEXT(ROW()-4,"0000"))</x:f>
      </x:c>
      <x:c r="AM33" s="36" t="str">
        <x:f>IF(R33="","",IF(T33="KOD HATALI","Öğrenci Kodu Hatalı",IF(OR(V33="",W33="",X33="",Y33="",Z33="",AF33="",AG33="",AJ33="",AK33=""),"Eksik Zorunlu Alan",IF(OR(Y33&lt;0,Z33&lt;0,Z33&gt;Y33),"Soru Sayısı Hatası",IF(AND(AD33&lt;&gt;"",AD33&lt;V33),"Ödev Tarihi Hatası",IF(COUNTIF($AL$5:AL33,AL33)&gt;1,"Mükerrer Form Kaydı","Aktarıma Hazır"))))))</x:f>
      </x:c>
      <x:c r="AN33" s="30"/>
      <x:c r="AO33" s="40"/>
      <x:c r="AP33" s="30"/>
    </x:row>
    <x:row r="34">
      <x:c r="A34" s="158"/>
      <x:c r="B34" s="44"/>
      <x:c r="C34" s="40"/>
      <x:c r="D34" s="30"/>
      <x:c r="E34" s="30"/>
      <x:c r="F34" s="30"/>
      <x:c r="G34" s="30"/>
      <x:c r="H34" s="30"/>
      <x:c r="I34" s="40"/>
      <x:c r="J34" s="30"/>
      <x:c r="K34" s="30"/>
      <x:c r="L34" s="30"/>
      <x:c r="M34" s="30"/>
      <x:c r="N34" s="30"/>
      <x:c r="O34" s="30"/>
      <x:c r="P34" s="30"/>
      <x:c r="R34" s="160" t="str">
        <x:f>IF(A34="","",A34)</x:f>
      </x:c>
      <x:c r="S34" s="126" t="str">
        <x:f>IF(B34="","",B34)</x:f>
      </x:c>
      <x:c r="T34" s="36" t="str">
        <x:f>IF(S34="","",IFERROR(INDEX('02_Öğrenciler'!$B$5:$B$203,MATCH(S34,'02_Öğrenciler'!$A$5:$A$203,0)),"KOD HATALI"))</x:f>
      </x:c>
      <x:c r="U34" s="36" t="str">
        <x:f>IF(S34="","",IFERROR(INDEX('02_Öğrenciler'!$C$5:$C$203,MATCH(S34,'02_Öğrenciler'!$A$5:$A$203,0)),""))</x:f>
      </x:c>
      <x:c r="V34" s="132" t="str">
        <x:f>IF(C34="","",C34)</x:f>
      </x:c>
      <x:c r="W34" s="36" t="str">
        <x:f>IF(D34="","",D34)</x:f>
      </x:c>
      <x:c r="X34" s="36" t="str">
        <x:f>IF(E34="","",E34)</x:f>
      </x:c>
      <x:c r="Y34" s="36" t="str">
        <x:f>IF(F34="","",F34)</x:f>
      </x:c>
      <x:c r="Z34" s="36" t="str">
        <x:f>IF(G34="","",G34)</x:f>
      </x:c>
      <x:c r="AA34" s="36" t="str">
        <x:f>IF(OR(Y34="",Z34=""),"",Y34-Z34)</x:f>
      </x:c>
      <x:c r="AB34" s="52" t="str">
        <x:f>IF(OR(Y34="",Z34=""),"",IFERROR(Z34/Y34,0))</x:f>
      </x:c>
      <x:c r="AC34" s="36" t="str">
        <x:f>IF(H34="","",H34)</x:f>
      </x:c>
      <x:c r="AD34" s="132" t="str">
        <x:f>IF(I34="","",I34)</x:f>
      </x:c>
      <x:c r="AE34" s="36" t="str">
        <x:f>IF(J34="","",J34)</x:f>
      </x:c>
      <x:c r="AF34" s="36" t="str">
        <x:f>IF(K34="","",K34)</x:f>
      </x:c>
      <x:c r="AG34" s="36" t="str">
        <x:f>IF(L34="","",L34)</x:f>
      </x:c>
      <x:c r="AH34" s="36" t="str">
        <x:f>IF(M34="","",M34)</x:f>
      </x:c>
      <x:c r="AI34" s="36" t="str">
        <x:f>IF(N34="","",N34)</x:f>
      </x:c>
      <x:c r="AJ34" s="36" t="str">
        <x:f>IF(O34="","",O34)</x:f>
      </x:c>
      <x:c r="AK34" s="36" t="str">
        <x:f>IF(P34="","",P34)</x:f>
      </x:c>
      <x:c r="AL34" s="36" t="str">
        <x:f>IF(R34="","",TEXT(R34,"yyyymmddhhmmss")&amp;"-"&amp;S34&amp;"-"&amp;TEXT(ROW()-4,"0000"))</x:f>
      </x:c>
      <x:c r="AM34" s="36" t="str">
        <x:f>IF(R34="","",IF(T34="KOD HATALI","Öğrenci Kodu Hatalı",IF(OR(V34="",W34="",X34="",Y34="",Z34="",AF34="",AG34="",AJ34="",AK34=""),"Eksik Zorunlu Alan",IF(OR(Y34&lt;0,Z34&lt;0,Z34&gt;Y34),"Soru Sayısı Hatası",IF(AND(AD34&lt;&gt;"",AD34&lt;V34),"Ödev Tarihi Hatası",IF(COUNTIF($AL$5:AL34,AL34)&gt;1,"Mükerrer Form Kaydı","Aktarıma Hazır"))))))</x:f>
      </x:c>
      <x:c r="AN34" s="30"/>
      <x:c r="AO34" s="40"/>
      <x:c r="AP34" s="30"/>
    </x:row>
    <x:row r="35">
      <x:c r="A35" s="158"/>
      <x:c r="B35" s="44"/>
      <x:c r="C35" s="40"/>
      <x:c r="D35" s="30"/>
      <x:c r="E35" s="30"/>
      <x:c r="F35" s="30"/>
      <x:c r="G35" s="30"/>
      <x:c r="H35" s="30"/>
      <x:c r="I35" s="40"/>
      <x:c r="J35" s="30"/>
      <x:c r="K35" s="30"/>
      <x:c r="L35" s="30"/>
      <x:c r="M35" s="30"/>
      <x:c r="N35" s="30"/>
      <x:c r="O35" s="30"/>
      <x:c r="P35" s="30"/>
      <x:c r="R35" s="160" t="str">
        <x:f>IF(A35="","",A35)</x:f>
      </x:c>
      <x:c r="S35" s="126" t="str">
        <x:f>IF(B35="","",B35)</x:f>
      </x:c>
      <x:c r="T35" s="36" t="str">
        <x:f>IF(S35="","",IFERROR(INDEX('02_Öğrenciler'!$B$5:$B$203,MATCH(S35,'02_Öğrenciler'!$A$5:$A$203,0)),"KOD HATALI"))</x:f>
      </x:c>
      <x:c r="U35" s="36" t="str">
        <x:f>IF(S35="","",IFERROR(INDEX('02_Öğrenciler'!$C$5:$C$203,MATCH(S35,'02_Öğrenciler'!$A$5:$A$203,0)),""))</x:f>
      </x:c>
      <x:c r="V35" s="132" t="str">
        <x:f>IF(C35="","",C35)</x:f>
      </x:c>
      <x:c r="W35" s="36" t="str">
        <x:f>IF(D35="","",D35)</x:f>
      </x:c>
      <x:c r="X35" s="36" t="str">
        <x:f>IF(E35="","",E35)</x:f>
      </x:c>
      <x:c r="Y35" s="36" t="str">
        <x:f>IF(F35="","",F35)</x:f>
      </x:c>
      <x:c r="Z35" s="36" t="str">
        <x:f>IF(G35="","",G35)</x:f>
      </x:c>
      <x:c r="AA35" s="36" t="str">
        <x:f>IF(OR(Y35="",Z35=""),"",Y35-Z35)</x:f>
      </x:c>
      <x:c r="AB35" s="52" t="str">
        <x:f>IF(OR(Y35="",Z35=""),"",IFERROR(Z35/Y35,0))</x:f>
      </x:c>
      <x:c r="AC35" s="36" t="str">
        <x:f>IF(H35="","",H35)</x:f>
      </x:c>
      <x:c r="AD35" s="132" t="str">
        <x:f>IF(I35="","",I35)</x:f>
      </x:c>
      <x:c r="AE35" s="36" t="str">
        <x:f>IF(J35="","",J35)</x:f>
      </x:c>
      <x:c r="AF35" s="36" t="str">
        <x:f>IF(K35="","",K35)</x:f>
      </x:c>
      <x:c r="AG35" s="36" t="str">
        <x:f>IF(L35="","",L35)</x:f>
      </x:c>
      <x:c r="AH35" s="36" t="str">
        <x:f>IF(M35="","",M35)</x:f>
      </x:c>
      <x:c r="AI35" s="36" t="str">
        <x:f>IF(N35="","",N35)</x:f>
      </x:c>
      <x:c r="AJ35" s="36" t="str">
        <x:f>IF(O35="","",O35)</x:f>
      </x:c>
      <x:c r="AK35" s="36" t="str">
        <x:f>IF(P35="","",P35)</x:f>
      </x:c>
      <x:c r="AL35" s="36" t="str">
        <x:f>IF(R35="","",TEXT(R35,"yyyymmddhhmmss")&amp;"-"&amp;S35&amp;"-"&amp;TEXT(ROW()-4,"0000"))</x:f>
      </x:c>
      <x:c r="AM35" s="36" t="str">
        <x:f>IF(R35="","",IF(T35="KOD HATALI","Öğrenci Kodu Hatalı",IF(OR(V35="",W35="",X35="",Y35="",Z35="",AF35="",AG35="",AJ35="",AK35=""),"Eksik Zorunlu Alan",IF(OR(Y35&lt;0,Z35&lt;0,Z35&gt;Y35),"Soru Sayısı Hatası",IF(AND(AD35&lt;&gt;"",AD35&lt;V35),"Ödev Tarihi Hatası",IF(COUNTIF($AL$5:AL35,AL35)&gt;1,"Mükerrer Form Kaydı","Aktarıma Hazır"))))))</x:f>
      </x:c>
      <x:c r="AN35" s="30"/>
      <x:c r="AO35" s="40"/>
      <x:c r="AP35" s="30"/>
    </x:row>
    <x:row r="36">
      <x:c r="A36" s="158"/>
      <x:c r="B36" s="44"/>
      <x:c r="C36" s="40"/>
      <x:c r="D36" s="30"/>
      <x:c r="E36" s="30"/>
      <x:c r="F36" s="30"/>
      <x:c r="G36" s="30"/>
      <x:c r="H36" s="30"/>
      <x:c r="I36" s="40"/>
      <x:c r="J36" s="30"/>
      <x:c r="K36" s="30"/>
      <x:c r="L36" s="30"/>
      <x:c r="M36" s="30"/>
      <x:c r="N36" s="30"/>
      <x:c r="O36" s="30"/>
      <x:c r="P36" s="30"/>
      <x:c r="R36" s="160" t="str">
        <x:f>IF(A36="","",A36)</x:f>
      </x:c>
      <x:c r="S36" s="126" t="str">
        <x:f>IF(B36="","",B36)</x:f>
      </x:c>
      <x:c r="T36" s="36" t="str">
        <x:f>IF(S36="","",IFERROR(INDEX('02_Öğrenciler'!$B$5:$B$203,MATCH(S36,'02_Öğrenciler'!$A$5:$A$203,0)),"KOD HATALI"))</x:f>
      </x:c>
      <x:c r="U36" s="36" t="str">
        <x:f>IF(S36="","",IFERROR(INDEX('02_Öğrenciler'!$C$5:$C$203,MATCH(S36,'02_Öğrenciler'!$A$5:$A$203,0)),""))</x:f>
      </x:c>
      <x:c r="V36" s="132" t="str">
        <x:f>IF(C36="","",C36)</x:f>
      </x:c>
      <x:c r="W36" s="36" t="str">
        <x:f>IF(D36="","",D36)</x:f>
      </x:c>
      <x:c r="X36" s="36" t="str">
        <x:f>IF(E36="","",E36)</x:f>
      </x:c>
      <x:c r="Y36" s="36" t="str">
        <x:f>IF(F36="","",F36)</x:f>
      </x:c>
      <x:c r="Z36" s="36" t="str">
        <x:f>IF(G36="","",G36)</x:f>
      </x:c>
      <x:c r="AA36" s="36" t="str">
        <x:f>IF(OR(Y36="",Z36=""),"",Y36-Z36)</x:f>
      </x:c>
      <x:c r="AB36" s="52" t="str">
        <x:f>IF(OR(Y36="",Z36=""),"",IFERROR(Z36/Y36,0))</x:f>
      </x:c>
      <x:c r="AC36" s="36" t="str">
        <x:f>IF(H36="","",H36)</x:f>
      </x:c>
      <x:c r="AD36" s="132" t="str">
        <x:f>IF(I36="","",I36)</x:f>
      </x:c>
      <x:c r="AE36" s="36" t="str">
        <x:f>IF(J36="","",J36)</x:f>
      </x:c>
      <x:c r="AF36" s="36" t="str">
        <x:f>IF(K36="","",K36)</x:f>
      </x:c>
      <x:c r="AG36" s="36" t="str">
        <x:f>IF(L36="","",L36)</x:f>
      </x:c>
      <x:c r="AH36" s="36" t="str">
        <x:f>IF(M36="","",M36)</x:f>
      </x:c>
      <x:c r="AI36" s="36" t="str">
        <x:f>IF(N36="","",N36)</x:f>
      </x:c>
      <x:c r="AJ36" s="36" t="str">
        <x:f>IF(O36="","",O36)</x:f>
      </x:c>
      <x:c r="AK36" s="36" t="str">
        <x:f>IF(P36="","",P36)</x:f>
      </x:c>
      <x:c r="AL36" s="36" t="str">
        <x:f>IF(R36="","",TEXT(R36,"yyyymmddhhmmss")&amp;"-"&amp;S36&amp;"-"&amp;TEXT(ROW()-4,"0000"))</x:f>
      </x:c>
      <x:c r="AM36" s="36" t="str">
        <x:f>IF(R36="","",IF(T36="KOD HATALI","Öğrenci Kodu Hatalı",IF(OR(V36="",W36="",X36="",Y36="",Z36="",AF36="",AG36="",AJ36="",AK36=""),"Eksik Zorunlu Alan",IF(OR(Y36&lt;0,Z36&lt;0,Z36&gt;Y36),"Soru Sayısı Hatası",IF(AND(AD36&lt;&gt;"",AD36&lt;V36),"Ödev Tarihi Hatası",IF(COUNTIF($AL$5:AL36,AL36)&gt;1,"Mükerrer Form Kaydı","Aktarıma Hazır"))))))</x:f>
      </x:c>
      <x:c r="AN36" s="30"/>
      <x:c r="AO36" s="40"/>
      <x:c r="AP36" s="30"/>
    </x:row>
    <x:row r="37">
      <x:c r="A37" s="158"/>
      <x:c r="B37" s="44"/>
      <x:c r="C37" s="40"/>
      <x:c r="D37" s="30"/>
      <x:c r="E37" s="30"/>
      <x:c r="F37" s="30"/>
      <x:c r="G37" s="30"/>
      <x:c r="H37" s="30"/>
      <x:c r="I37" s="40"/>
      <x:c r="J37" s="30"/>
      <x:c r="K37" s="30"/>
      <x:c r="L37" s="30"/>
      <x:c r="M37" s="30"/>
      <x:c r="N37" s="30"/>
      <x:c r="O37" s="30"/>
      <x:c r="P37" s="30"/>
      <x:c r="R37" s="160" t="str">
        <x:f>IF(A37="","",A37)</x:f>
      </x:c>
      <x:c r="S37" s="126" t="str">
        <x:f>IF(B37="","",B37)</x:f>
      </x:c>
      <x:c r="T37" s="36" t="str">
        <x:f>IF(S37="","",IFERROR(INDEX('02_Öğrenciler'!$B$5:$B$203,MATCH(S37,'02_Öğrenciler'!$A$5:$A$203,0)),"KOD HATALI"))</x:f>
      </x:c>
      <x:c r="U37" s="36" t="str">
        <x:f>IF(S37="","",IFERROR(INDEX('02_Öğrenciler'!$C$5:$C$203,MATCH(S37,'02_Öğrenciler'!$A$5:$A$203,0)),""))</x:f>
      </x:c>
      <x:c r="V37" s="132" t="str">
        <x:f>IF(C37="","",C37)</x:f>
      </x:c>
      <x:c r="W37" s="36" t="str">
        <x:f>IF(D37="","",D37)</x:f>
      </x:c>
      <x:c r="X37" s="36" t="str">
        <x:f>IF(E37="","",E37)</x:f>
      </x:c>
      <x:c r="Y37" s="36" t="str">
        <x:f>IF(F37="","",F37)</x:f>
      </x:c>
      <x:c r="Z37" s="36" t="str">
        <x:f>IF(G37="","",G37)</x:f>
      </x:c>
      <x:c r="AA37" s="36" t="str">
        <x:f>IF(OR(Y37="",Z37=""),"",Y37-Z37)</x:f>
      </x:c>
      <x:c r="AB37" s="52" t="str">
        <x:f>IF(OR(Y37="",Z37=""),"",IFERROR(Z37/Y37,0))</x:f>
      </x:c>
      <x:c r="AC37" s="36" t="str">
        <x:f>IF(H37="","",H37)</x:f>
      </x:c>
      <x:c r="AD37" s="132" t="str">
        <x:f>IF(I37="","",I37)</x:f>
      </x:c>
      <x:c r="AE37" s="36" t="str">
        <x:f>IF(J37="","",J37)</x:f>
      </x:c>
      <x:c r="AF37" s="36" t="str">
        <x:f>IF(K37="","",K37)</x:f>
      </x:c>
      <x:c r="AG37" s="36" t="str">
        <x:f>IF(L37="","",L37)</x:f>
      </x:c>
      <x:c r="AH37" s="36" t="str">
        <x:f>IF(M37="","",M37)</x:f>
      </x:c>
      <x:c r="AI37" s="36" t="str">
        <x:f>IF(N37="","",N37)</x:f>
      </x:c>
      <x:c r="AJ37" s="36" t="str">
        <x:f>IF(O37="","",O37)</x:f>
      </x:c>
      <x:c r="AK37" s="36" t="str">
        <x:f>IF(P37="","",P37)</x:f>
      </x:c>
      <x:c r="AL37" s="36" t="str">
        <x:f>IF(R37="","",TEXT(R37,"yyyymmddhhmmss")&amp;"-"&amp;S37&amp;"-"&amp;TEXT(ROW()-4,"0000"))</x:f>
      </x:c>
      <x:c r="AM37" s="36" t="str">
        <x:f>IF(R37="","",IF(T37="KOD HATALI","Öğrenci Kodu Hatalı",IF(OR(V37="",W37="",X37="",Y37="",Z37="",AF37="",AG37="",AJ37="",AK37=""),"Eksik Zorunlu Alan",IF(OR(Y37&lt;0,Z37&lt;0,Z37&gt;Y37),"Soru Sayısı Hatası",IF(AND(AD37&lt;&gt;"",AD37&lt;V37),"Ödev Tarihi Hatası",IF(COUNTIF($AL$5:AL37,AL37)&gt;1,"Mükerrer Form Kaydı","Aktarıma Hazır"))))))</x:f>
      </x:c>
      <x:c r="AN37" s="30"/>
      <x:c r="AO37" s="40"/>
      <x:c r="AP37" s="30"/>
    </x:row>
    <x:row r="38">
      <x:c r="A38" s="158"/>
      <x:c r="B38" s="44"/>
      <x:c r="C38" s="40"/>
      <x:c r="D38" s="30"/>
      <x:c r="E38" s="30"/>
      <x:c r="F38" s="30"/>
      <x:c r="G38" s="30"/>
      <x:c r="H38" s="30"/>
      <x:c r="I38" s="40"/>
      <x:c r="J38" s="30"/>
      <x:c r="K38" s="30"/>
      <x:c r="L38" s="30"/>
      <x:c r="M38" s="30"/>
      <x:c r="N38" s="30"/>
      <x:c r="O38" s="30"/>
      <x:c r="P38" s="30"/>
      <x:c r="R38" s="160" t="str">
        <x:f>IF(A38="","",A38)</x:f>
      </x:c>
      <x:c r="S38" s="126" t="str">
        <x:f>IF(B38="","",B38)</x:f>
      </x:c>
      <x:c r="T38" s="36" t="str">
        <x:f>IF(S38="","",IFERROR(INDEX('02_Öğrenciler'!$B$5:$B$203,MATCH(S38,'02_Öğrenciler'!$A$5:$A$203,0)),"KOD HATALI"))</x:f>
      </x:c>
      <x:c r="U38" s="36" t="str">
        <x:f>IF(S38="","",IFERROR(INDEX('02_Öğrenciler'!$C$5:$C$203,MATCH(S38,'02_Öğrenciler'!$A$5:$A$203,0)),""))</x:f>
      </x:c>
      <x:c r="V38" s="132" t="str">
        <x:f>IF(C38="","",C38)</x:f>
      </x:c>
      <x:c r="W38" s="36" t="str">
        <x:f>IF(D38="","",D38)</x:f>
      </x:c>
      <x:c r="X38" s="36" t="str">
        <x:f>IF(E38="","",E38)</x:f>
      </x:c>
      <x:c r="Y38" s="36" t="str">
        <x:f>IF(F38="","",F38)</x:f>
      </x:c>
      <x:c r="Z38" s="36" t="str">
        <x:f>IF(G38="","",G38)</x:f>
      </x:c>
      <x:c r="AA38" s="36" t="str">
        <x:f>IF(OR(Y38="",Z38=""),"",Y38-Z38)</x:f>
      </x:c>
      <x:c r="AB38" s="52" t="str">
        <x:f>IF(OR(Y38="",Z38=""),"",IFERROR(Z38/Y38,0))</x:f>
      </x:c>
      <x:c r="AC38" s="36" t="str">
        <x:f>IF(H38="","",H38)</x:f>
      </x:c>
      <x:c r="AD38" s="132" t="str">
        <x:f>IF(I38="","",I38)</x:f>
      </x:c>
      <x:c r="AE38" s="36" t="str">
        <x:f>IF(J38="","",J38)</x:f>
      </x:c>
      <x:c r="AF38" s="36" t="str">
        <x:f>IF(K38="","",K38)</x:f>
      </x:c>
      <x:c r="AG38" s="36" t="str">
        <x:f>IF(L38="","",L38)</x:f>
      </x:c>
      <x:c r="AH38" s="36" t="str">
        <x:f>IF(M38="","",M38)</x:f>
      </x:c>
      <x:c r="AI38" s="36" t="str">
        <x:f>IF(N38="","",N38)</x:f>
      </x:c>
      <x:c r="AJ38" s="36" t="str">
        <x:f>IF(O38="","",O38)</x:f>
      </x:c>
      <x:c r="AK38" s="36" t="str">
        <x:f>IF(P38="","",P38)</x:f>
      </x:c>
      <x:c r="AL38" s="36" t="str">
        <x:f>IF(R38="","",TEXT(R38,"yyyymmddhhmmss")&amp;"-"&amp;S38&amp;"-"&amp;TEXT(ROW()-4,"0000"))</x:f>
      </x:c>
      <x:c r="AM38" s="36" t="str">
        <x:f>IF(R38="","",IF(T38="KOD HATALI","Öğrenci Kodu Hatalı",IF(OR(V38="",W38="",X38="",Y38="",Z38="",AF38="",AG38="",AJ38="",AK38=""),"Eksik Zorunlu Alan",IF(OR(Y38&lt;0,Z38&lt;0,Z38&gt;Y38),"Soru Sayısı Hatası",IF(AND(AD38&lt;&gt;"",AD38&lt;V38),"Ödev Tarihi Hatası",IF(COUNTIF($AL$5:AL38,AL38)&gt;1,"Mükerrer Form Kaydı","Aktarıma Hazır"))))))</x:f>
      </x:c>
      <x:c r="AN38" s="30"/>
      <x:c r="AO38" s="40"/>
      <x:c r="AP38" s="30"/>
    </x:row>
    <x:row r="39">
      <x:c r="A39" s="158"/>
      <x:c r="B39" s="44"/>
      <x:c r="C39" s="40"/>
      <x:c r="D39" s="30"/>
      <x:c r="E39" s="30"/>
      <x:c r="F39" s="30"/>
      <x:c r="G39" s="30"/>
      <x:c r="H39" s="30"/>
      <x:c r="I39" s="40"/>
      <x:c r="J39" s="30"/>
      <x:c r="K39" s="30"/>
      <x:c r="L39" s="30"/>
      <x:c r="M39" s="30"/>
      <x:c r="N39" s="30"/>
      <x:c r="O39" s="30"/>
      <x:c r="P39" s="30"/>
      <x:c r="R39" s="160" t="str">
        <x:f>IF(A39="","",A39)</x:f>
      </x:c>
      <x:c r="S39" s="126" t="str">
        <x:f>IF(B39="","",B39)</x:f>
      </x:c>
      <x:c r="T39" s="36" t="str">
        <x:f>IF(S39="","",IFERROR(INDEX('02_Öğrenciler'!$B$5:$B$203,MATCH(S39,'02_Öğrenciler'!$A$5:$A$203,0)),"KOD HATALI"))</x:f>
      </x:c>
      <x:c r="U39" s="36" t="str">
        <x:f>IF(S39="","",IFERROR(INDEX('02_Öğrenciler'!$C$5:$C$203,MATCH(S39,'02_Öğrenciler'!$A$5:$A$203,0)),""))</x:f>
      </x:c>
      <x:c r="V39" s="132" t="str">
        <x:f>IF(C39="","",C39)</x:f>
      </x:c>
      <x:c r="W39" s="36" t="str">
        <x:f>IF(D39="","",D39)</x:f>
      </x:c>
      <x:c r="X39" s="36" t="str">
        <x:f>IF(E39="","",E39)</x:f>
      </x:c>
      <x:c r="Y39" s="36" t="str">
        <x:f>IF(F39="","",F39)</x:f>
      </x:c>
      <x:c r="Z39" s="36" t="str">
        <x:f>IF(G39="","",G39)</x:f>
      </x:c>
      <x:c r="AA39" s="36" t="str">
        <x:f>IF(OR(Y39="",Z39=""),"",Y39-Z39)</x:f>
      </x:c>
      <x:c r="AB39" s="52" t="str">
        <x:f>IF(OR(Y39="",Z39=""),"",IFERROR(Z39/Y39,0))</x:f>
      </x:c>
      <x:c r="AC39" s="36" t="str">
        <x:f>IF(H39="","",H39)</x:f>
      </x:c>
      <x:c r="AD39" s="132" t="str">
        <x:f>IF(I39="","",I39)</x:f>
      </x:c>
      <x:c r="AE39" s="36" t="str">
        <x:f>IF(J39="","",J39)</x:f>
      </x:c>
      <x:c r="AF39" s="36" t="str">
        <x:f>IF(K39="","",K39)</x:f>
      </x:c>
      <x:c r="AG39" s="36" t="str">
        <x:f>IF(L39="","",L39)</x:f>
      </x:c>
      <x:c r="AH39" s="36" t="str">
        <x:f>IF(M39="","",M39)</x:f>
      </x:c>
      <x:c r="AI39" s="36" t="str">
        <x:f>IF(N39="","",N39)</x:f>
      </x:c>
      <x:c r="AJ39" s="36" t="str">
        <x:f>IF(O39="","",O39)</x:f>
      </x:c>
      <x:c r="AK39" s="36" t="str">
        <x:f>IF(P39="","",P39)</x:f>
      </x:c>
      <x:c r="AL39" s="36" t="str">
        <x:f>IF(R39="","",TEXT(R39,"yyyymmddhhmmss")&amp;"-"&amp;S39&amp;"-"&amp;TEXT(ROW()-4,"0000"))</x:f>
      </x:c>
      <x:c r="AM39" s="36" t="str">
        <x:f>IF(R39="","",IF(T39="KOD HATALI","Öğrenci Kodu Hatalı",IF(OR(V39="",W39="",X39="",Y39="",Z39="",AF39="",AG39="",AJ39="",AK39=""),"Eksik Zorunlu Alan",IF(OR(Y39&lt;0,Z39&lt;0,Z39&gt;Y39),"Soru Sayısı Hatası",IF(AND(AD39&lt;&gt;"",AD39&lt;V39),"Ödev Tarihi Hatası",IF(COUNTIF($AL$5:AL39,AL39)&gt;1,"Mükerrer Form Kaydı","Aktarıma Hazır"))))))</x:f>
      </x:c>
      <x:c r="AN39" s="30"/>
      <x:c r="AO39" s="40"/>
      <x:c r="AP39" s="30"/>
    </x:row>
    <x:row r="40">
      <x:c r="A40" s="158"/>
      <x:c r="B40" s="44"/>
      <x:c r="C40" s="40"/>
      <x:c r="D40" s="30"/>
      <x:c r="E40" s="30"/>
      <x:c r="F40" s="30"/>
      <x:c r="G40" s="30"/>
      <x:c r="H40" s="30"/>
      <x:c r="I40" s="40"/>
      <x:c r="J40" s="30"/>
      <x:c r="K40" s="30"/>
      <x:c r="L40" s="30"/>
      <x:c r="M40" s="30"/>
      <x:c r="N40" s="30"/>
      <x:c r="O40" s="30"/>
      <x:c r="P40" s="30"/>
      <x:c r="R40" s="160" t="str">
        <x:f>IF(A40="","",A40)</x:f>
      </x:c>
      <x:c r="S40" s="126" t="str">
        <x:f>IF(B40="","",B40)</x:f>
      </x:c>
      <x:c r="T40" s="36" t="str">
        <x:f>IF(S40="","",IFERROR(INDEX('02_Öğrenciler'!$B$5:$B$203,MATCH(S40,'02_Öğrenciler'!$A$5:$A$203,0)),"KOD HATALI"))</x:f>
      </x:c>
      <x:c r="U40" s="36" t="str">
        <x:f>IF(S40="","",IFERROR(INDEX('02_Öğrenciler'!$C$5:$C$203,MATCH(S40,'02_Öğrenciler'!$A$5:$A$203,0)),""))</x:f>
      </x:c>
      <x:c r="V40" s="132" t="str">
        <x:f>IF(C40="","",C40)</x:f>
      </x:c>
      <x:c r="W40" s="36" t="str">
        <x:f>IF(D40="","",D40)</x:f>
      </x:c>
      <x:c r="X40" s="36" t="str">
        <x:f>IF(E40="","",E40)</x:f>
      </x:c>
      <x:c r="Y40" s="36" t="str">
        <x:f>IF(F40="","",F40)</x:f>
      </x:c>
      <x:c r="Z40" s="36" t="str">
        <x:f>IF(G40="","",G40)</x:f>
      </x:c>
      <x:c r="AA40" s="36" t="str">
        <x:f>IF(OR(Y40="",Z40=""),"",Y40-Z40)</x:f>
      </x:c>
      <x:c r="AB40" s="52" t="str">
        <x:f>IF(OR(Y40="",Z40=""),"",IFERROR(Z40/Y40,0))</x:f>
      </x:c>
      <x:c r="AC40" s="36" t="str">
        <x:f>IF(H40="","",H40)</x:f>
      </x:c>
      <x:c r="AD40" s="132" t="str">
        <x:f>IF(I40="","",I40)</x:f>
      </x:c>
      <x:c r="AE40" s="36" t="str">
        <x:f>IF(J40="","",J40)</x:f>
      </x:c>
      <x:c r="AF40" s="36" t="str">
        <x:f>IF(K40="","",K40)</x:f>
      </x:c>
      <x:c r="AG40" s="36" t="str">
        <x:f>IF(L40="","",L40)</x:f>
      </x:c>
      <x:c r="AH40" s="36" t="str">
        <x:f>IF(M40="","",M40)</x:f>
      </x:c>
      <x:c r="AI40" s="36" t="str">
        <x:f>IF(N40="","",N40)</x:f>
      </x:c>
      <x:c r="AJ40" s="36" t="str">
        <x:f>IF(O40="","",O40)</x:f>
      </x:c>
      <x:c r="AK40" s="36" t="str">
        <x:f>IF(P40="","",P40)</x:f>
      </x:c>
      <x:c r="AL40" s="36" t="str">
        <x:f>IF(R40="","",TEXT(R40,"yyyymmddhhmmss")&amp;"-"&amp;S40&amp;"-"&amp;TEXT(ROW()-4,"0000"))</x:f>
      </x:c>
      <x:c r="AM40" s="36" t="str">
        <x:f>IF(R40="","",IF(T40="KOD HATALI","Öğrenci Kodu Hatalı",IF(OR(V40="",W40="",X40="",Y40="",Z40="",AF40="",AG40="",AJ40="",AK40=""),"Eksik Zorunlu Alan",IF(OR(Y40&lt;0,Z40&lt;0,Z40&gt;Y40),"Soru Sayısı Hatası",IF(AND(AD40&lt;&gt;"",AD40&lt;V40),"Ödev Tarihi Hatası",IF(COUNTIF($AL$5:AL40,AL40)&gt;1,"Mükerrer Form Kaydı","Aktarıma Hazır"))))))</x:f>
      </x:c>
      <x:c r="AN40" s="30"/>
      <x:c r="AO40" s="40"/>
      <x:c r="AP40" s="30"/>
    </x:row>
    <x:row r="41">
      <x:c r="A41" s="158"/>
      <x:c r="B41" s="44"/>
      <x:c r="C41" s="40"/>
      <x:c r="D41" s="30"/>
      <x:c r="E41" s="30"/>
      <x:c r="F41" s="30"/>
      <x:c r="G41" s="30"/>
      <x:c r="H41" s="30"/>
      <x:c r="I41" s="40"/>
      <x:c r="J41" s="30"/>
      <x:c r="K41" s="30"/>
      <x:c r="L41" s="30"/>
      <x:c r="M41" s="30"/>
      <x:c r="N41" s="30"/>
      <x:c r="O41" s="30"/>
      <x:c r="P41" s="30"/>
      <x:c r="R41" s="160" t="str">
        <x:f>IF(A41="","",A41)</x:f>
      </x:c>
      <x:c r="S41" s="126" t="str">
        <x:f>IF(B41="","",B41)</x:f>
      </x:c>
      <x:c r="T41" s="36" t="str">
        <x:f>IF(S41="","",IFERROR(INDEX('02_Öğrenciler'!$B$5:$B$203,MATCH(S41,'02_Öğrenciler'!$A$5:$A$203,0)),"KOD HATALI"))</x:f>
      </x:c>
      <x:c r="U41" s="36" t="str">
        <x:f>IF(S41="","",IFERROR(INDEX('02_Öğrenciler'!$C$5:$C$203,MATCH(S41,'02_Öğrenciler'!$A$5:$A$203,0)),""))</x:f>
      </x:c>
      <x:c r="V41" s="132" t="str">
        <x:f>IF(C41="","",C41)</x:f>
      </x:c>
      <x:c r="W41" s="36" t="str">
        <x:f>IF(D41="","",D41)</x:f>
      </x:c>
      <x:c r="X41" s="36" t="str">
        <x:f>IF(E41="","",E41)</x:f>
      </x:c>
      <x:c r="Y41" s="36" t="str">
        <x:f>IF(F41="","",F41)</x:f>
      </x:c>
      <x:c r="Z41" s="36" t="str">
        <x:f>IF(G41="","",G41)</x:f>
      </x:c>
      <x:c r="AA41" s="36" t="str">
        <x:f>IF(OR(Y41="",Z41=""),"",Y41-Z41)</x:f>
      </x:c>
      <x:c r="AB41" s="52" t="str">
        <x:f>IF(OR(Y41="",Z41=""),"",IFERROR(Z41/Y41,0))</x:f>
      </x:c>
      <x:c r="AC41" s="36" t="str">
        <x:f>IF(H41="","",H41)</x:f>
      </x:c>
      <x:c r="AD41" s="132" t="str">
        <x:f>IF(I41="","",I41)</x:f>
      </x:c>
      <x:c r="AE41" s="36" t="str">
        <x:f>IF(J41="","",J41)</x:f>
      </x:c>
      <x:c r="AF41" s="36" t="str">
        <x:f>IF(K41="","",K41)</x:f>
      </x:c>
      <x:c r="AG41" s="36" t="str">
        <x:f>IF(L41="","",L41)</x:f>
      </x:c>
      <x:c r="AH41" s="36" t="str">
        <x:f>IF(M41="","",M41)</x:f>
      </x:c>
      <x:c r="AI41" s="36" t="str">
        <x:f>IF(N41="","",N41)</x:f>
      </x:c>
      <x:c r="AJ41" s="36" t="str">
        <x:f>IF(O41="","",O41)</x:f>
      </x:c>
      <x:c r="AK41" s="36" t="str">
        <x:f>IF(P41="","",P41)</x:f>
      </x:c>
      <x:c r="AL41" s="36" t="str">
        <x:f>IF(R41="","",TEXT(R41,"yyyymmddhhmmss")&amp;"-"&amp;S41&amp;"-"&amp;TEXT(ROW()-4,"0000"))</x:f>
      </x:c>
      <x:c r="AM41" s="36" t="str">
        <x:f>IF(R41="","",IF(T41="KOD HATALI","Öğrenci Kodu Hatalı",IF(OR(V41="",W41="",X41="",Y41="",Z41="",AF41="",AG41="",AJ41="",AK41=""),"Eksik Zorunlu Alan",IF(OR(Y41&lt;0,Z41&lt;0,Z41&gt;Y41),"Soru Sayısı Hatası",IF(AND(AD41&lt;&gt;"",AD41&lt;V41),"Ödev Tarihi Hatası",IF(COUNTIF($AL$5:AL41,AL41)&gt;1,"Mükerrer Form Kaydı","Aktarıma Hazır"))))))</x:f>
      </x:c>
      <x:c r="AN41" s="30"/>
      <x:c r="AO41" s="40"/>
      <x:c r="AP41" s="30"/>
    </x:row>
    <x:row r="42">
      <x:c r="A42" s="158"/>
      <x:c r="B42" s="44"/>
      <x:c r="C42" s="40"/>
      <x:c r="D42" s="30"/>
      <x:c r="E42" s="30"/>
      <x:c r="F42" s="30"/>
      <x:c r="G42" s="30"/>
      <x:c r="H42" s="30"/>
      <x:c r="I42" s="40"/>
      <x:c r="J42" s="30"/>
      <x:c r="K42" s="30"/>
      <x:c r="L42" s="30"/>
      <x:c r="M42" s="30"/>
      <x:c r="N42" s="30"/>
      <x:c r="O42" s="30"/>
      <x:c r="P42" s="30"/>
      <x:c r="R42" s="160" t="str">
        <x:f>IF(A42="","",A42)</x:f>
      </x:c>
      <x:c r="S42" s="126" t="str">
        <x:f>IF(B42="","",B42)</x:f>
      </x:c>
      <x:c r="T42" s="36" t="str">
        <x:f>IF(S42="","",IFERROR(INDEX('02_Öğrenciler'!$B$5:$B$203,MATCH(S42,'02_Öğrenciler'!$A$5:$A$203,0)),"KOD HATALI"))</x:f>
      </x:c>
      <x:c r="U42" s="36" t="str">
        <x:f>IF(S42="","",IFERROR(INDEX('02_Öğrenciler'!$C$5:$C$203,MATCH(S42,'02_Öğrenciler'!$A$5:$A$203,0)),""))</x:f>
      </x:c>
      <x:c r="V42" s="132" t="str">
        <x:f>IF(C42="","",C42)</x:f>
      </x:c>
      <x:c r="W42" s="36" t="str">
        <x:f>IF(D42="","",D42)</x:f>
      </x:c>
      <x:c r="X42" s="36" t="str">
        <x:f>IF(E42="","",E42)</x:f>
      </x:c>
      <x:c r="Y42" s="36" t="str">
        <x:f>IF(F42="","",F42)</x:f>
      </x:c>
      <x:c r="Z42" s="36" t="str">
        <x:f>IF(G42="","",G42)</x:f>
      </x:c>
      <x:c r="AA42" s="36" t="str">
        <x:f>IF(OR(Y42="",Z42=""),"",Y42-Z42)</x:f>
      </x:c>
      <x:c r="AB42" s="52" t="str">
        <x:f>IF(OR(Y42="",Z42=""),"",IFERROR(Z42/Y42,0))</x:f>
      </x:c>
      <x:c r="AC42" s="36" t="str">
        <x:f>IF(H42="","",H42)</x:f>
      </x:c>
      <x:c r="AD42" s="132" t="str">
        <x:f>IF(I42="","",I42)</x:f>
      </x:c>
      <x:c r="AE42" s="36" t="str">
        <x:f>IF(J42="","",J42)</x:f>
      </x:c>
      <x:c r="AF42" s="36" t="str">
        <x:f>IF(K42="","",K42)</x:f>
      </x:c>
      <x:c r="AG42" s="36" t="str">
        <x:f>IF(L42="","",L42)</x:f>
      </x:c>
      <x:c r="AH42" s="36" t="str">
        <x:f>IF(M42="","",M42)</x:f>
      </x:c>
      <x:c r="AI42" s="36" t="str">
        <x:f>IF(N42="","",N42)</x:f>
      </x:c>
      <x:c r="AJ42" s="36" t="str">
        <x:f>IF(O42="","",O42)</x:f>
      </x:c>
      <x:c r="AK42" s="36" t="str">
        <x:f>IF(P42="","",P42)</x:f>
      </x:c>
      <x:c r="AL42" s="36" t="str">
        <x:f>IF(R42="","",TEXT(R42,"yyyymmddhhmmss")&amp;"-"&amp;S42&amp;"-"&amp;TEXT(ROW()-4,"0000"))</x:f>
      </x:c>
      <x:c r="AM42" s="36" t="str">
        <x:f>IF(R42="","",IF(T42="KOD HATALI","Öğrenci Kodu Hatalı",IF(OR(V42="",W42="",X42="",Y42="",Z42="",AF42="",AG42="",AJ42="",AK42=""),"Eksik Zorunlu Alan",IF(OR(Y42&lt;0,Z42&lt;0,Z42&gt;Y42),"Soru Sayısı Hatası",IF(AND(AD42&lt;&gt;"",AD42&lt;V42),"Ödev Tarihi Hatası",IF(COUNTIF($AL$5:AL42,AL42)&gt;1,"Mükerrer Form Kaydı","Aktarıma Hazır"))))))</x:f>
      </x:c>
      <x:c r="AN42" s="30"/>
      <x:c r="AO42" s="40"/>
      <x:c r="AP42" s="30"/>
    </x:row>
    <x:row r="43">
      <x:c r="A43" s="158"/>
      <x:c r="B43" s="44"/>
      <x:c r="C43" s="40"/>
      <x:c r="D43" s="30"/>
      <x:c r="E43" s="30"/>
      <x:c r="F43" s="30"/>
      <x:c r="G43" s="30"/>
      <x:c r="H43" s="30"/>
      <x:c r="I43" s="40"/>
      <x:c r="J43" s="30"/>
      <x:c r="K43" s="30"/>
      <x:c r="L43" s="30"/>
      <x:c r="M43" s="30"/>
      <x:c r="N43" s="30"/>
      <x:c r="O43" s="30"/>
      <x:c r="P43" s="30"/>
      <x:c r="R43" s="160" t="str">
        <x:f>IF(A43="","",A43)</x:f>
      </x:c>
      <x:c r="S43" s="126" t="str">
        <x:f>IF(B43="","",B43)</x:f>
      </x:c>
      <x:c r="T43" s="36" t="str">
        <x:f>IF(S43="","",IFERROR(INDEX('02_Öğrenciler'!$B$5:$B$203,MATCH(S43,'02_Öğrenciler'!$A$5:$A$203,0)),"KOD HATALI"))</x:f>
      </x:c>
      <x:c r="U43" s="36" t="str">
        <x:f>IF(S43="","",IFERROR(INDEX('02_Öğrenciler'!$C$5:$C$203,MATCH(S43,'02_Öğrenciler'!$A$5:$A$203,0)),""))</x:f>
      </x:c>
      <x:c r="V43" s="132" t="str">
        <x:f>IF(C43="","",C43)</x:f>
      </x:c>
      <x:c r="W43" s="36" t="str">
        <x:f>IF(D43="","",D43)</x:f>
      </x:c>
      <x:c r="X43" s="36" t="str">
        <x:f>IF(E43="","",E43)</x:f>
      </x:c>
      <x:c r="Y43" s="36" t="str">
        <x:f>IF(F43="","",F43)</x:f>
      </x:c>
      <x:c r="Z43" s="36" t="str">
        <x:f>IF(G43="","",G43)</x:f>
      </x:c>
      <x:c r="AA43" s="36" t="str">
        <x:f>IF(OR(Y43="",Z43=""),"",Y43-Z43)</x:f>
      </x:c>
      <x:c r="AB43" s="52" t="str">
        <x:f>IF(OR(Y43="",Z43=""),"",IFERROR(Z43/Y43,0))</x:f>
      </x:c>
      <x:c r="AC43" s="36" t="str">
        <x:f>IF(H43="","",H43)</x:f>
      </x:c>
      <x:c r="AD43" s="132" t="str">
        <x:f>IF(I43="","",I43)</x:f>
      </x:c>
      <x:c r="AE43" s="36" t="str">
        <x:f>IF(J43="","",J43)</x:f>
      </x:c>
      <x:c r="AF43" s="36" t="str">
        <x:f>IF(K43="","",K43)</x:f>
      </x:c>
      <x:c r="AG43" s="36" t="str">
        <x:f>IF(L43="","",L43)</x:f>
      </x:c>
      <x:c r="AH43" s="36" t="str">
        <x:f>IF(M43="","",M43)</x:f>
      </x:c>
      <x:c r="AI43" s="36" t="str">
        <x:f>IF(N43="","",N43)</x:f>
      </x:c>
      <x:c r="AJ43" s="36" t="str">
        <x:f>IF(O43="","",O43)</x:f>
      </x:c>
      <x:c r="AK43" s="36" t="str">
        <x:f>IF(P43="","",P43)</x:f>
      </x:c>
      <x:c r="AL43" s="36" t="str">
        <x:f>IF(R43="","",TEXT(R43,"yyyymmddhhmmss")&amp;"-"&amp;S43&amp;"-"&amp;TEXT(ROW()-4,"0000"))</x:f>
      </x:c>
      <x:c r="AM43" s="36" t="str">
        <x:f>IF(R43="","",IF(T43="KOD HATALI","Öğrenci Kodu Hatalı",IF(OR(V43="",W43="",X43="",Y43="",Z43="",AF43="",AG43="",AJ43="",AK43=""),"Eksik Zorunlu Alan",IF(OR(Y43&lt;0,Z43&lt;0,Z43&gt;Y43),"Soru Sayısı Hatası",IF(AND(AD43&lt;&gt;"",AD43&lt;V43),"Ödev Tarihi Hatası",IF(COUNTIF($AL$5:AL43,AL43)&gt;1,"Mükerrer Form Kaydı","Aktarıma Hazır"))))))</x:f>
      </x:c>
      <x:c r="AN43" s="30"/>
      <x:c r="AO43" s="40"/>
      <x:c r="AP43" s="30"/>
    </x:row>
    <x:row r="44">
      <x:c r="A44" s="158"/>
      <x:c r="B44" s="44"/>
      <x:c r="C44" s="40"/>
      <x:c r="D44" s="30"/>
      <x:c r="E44" s="30"/>
      <x:c r="F44" s="30"/>
      <x:c r="G44" s="30"/>
      <x:c r="H44" s="30"/>
      <x:c r="I44" s="40"/>
      <x:c r="J44" s="30"/>
      <x:c r="K44" s="30"/>
      <x:c r="L44" s="30"/>
      <x:c r="M44" s="30"/>
      <x:c r="N44" s="30"/>
      <x:c r="O44" s="30"/>
      <x:c r="P44" s="30"/>
      <x:c r="R44" s="160" t="str">
        <x:f>IF(A44="","",A44)</x:f>
      </x:c>
      <x:c r="S44" s="126" t="str">
        <x:f>IF(B44="","",B44)</x:f>
      </x:c>
      <x:c r="T44" s="36" t="str">
        <x:f>IF(S44="","",IFERROR(INDEX('02_Öğrenciler'!$B$5:$B$203,MATCH(S44,'02_Öğrenciler'!$A$5:$A$203,0)),"KOD HATALI"))</x:f>
      </x:c>
      <x:c r="U44" s="36" t="str">
        <x:f>IF(S44="","",IFERROR(INDEX('02_Öğrenciler'!$C$5:$C$203,MATCH(S44,'02_Öğrenciler'!$A$5:$A$203,0)),""))</x:f>
      </x:c>
      <x:c r="V44" s="132" t="str">
        <x:f>IF(C44="","",C44)</x:f>
      </x:c>
      <x:c r="W44" s="36" t="str">
        <x:f>IF(D44="","",D44)</x:f>
      </x:c>
      <x:c r="X44" s="36" t="str">
        <x:f>IF(E44="","",E44)</x:f>
      </x:c>
      <x:c r="Y44" s="36" t="str">
        <x:f>IF(F44="","",F44)</x:f>
      </x:c>
      <x:c r="Z44" s="36" t="str">
        <x:f>IF(G44="","",G44)</x:f>
      </x:c>
      <x:c r="AA44" s="36" t="str">
        <x:f>IF(OR(Y44="",Z44=""),"",Y44-Z44)</x:f>
      </x:c>
      <x:c r="AB44" s="52" t="str">
        <x:f>IF(OR(Y44="",Z44=""),"",IFERROR(Z44/Y44,0))</x:f>
      </x:c>
      <x:c r="AC44" s="36" t="str">
        <x:f>IF(H44="","",H44)</x:f>
      </x:c>
      <x:c r="AD44" s="132" t="str">
        <x:f>IF(I44="","",I44)</x:f>
      </x:c>
      <x:c r="AE44" s="36" t="str">
        <x:f>IF(J44="","",J44)</x:f>
      </x:c>
      <x:c r="AF44" s="36" t="str">
        <x:f>IF(K44="","",K44)</x:f>
      </x:c>
      <x:c r="AG44" s="36" t="str">
        <x:f>IF(L44="","",L44)</x:f>
      </x:c>
      <x:c r="AH44" s="36" t="str">
        <x:f>IF(M44="","",M44)</x:f>
      </x:c>
      <x:c r="AI44" s="36" t="str">
        <x:f>IF(N44="","",N44)</x:f>
      </x:c>
      <x:c r="AJ44" s="36" t="str">
        <x:f>IF(O44="","",O44)</x:f>
      </x:c>
      <x:c r="AK44" s="36" t="str">
        <x:f>IF(P44="","",P44)</x:f>
      </x:c>
      <x:c r="AL44" s="36" t="str">
        <x:f>IF(R44="","",TEXT(R44,"yyyymmddhhmmss")&amp;"-"&amp;S44&amp;"-"&amp;TEXT(ROW()-4,"0000"))</x:f>
      </x:c>
      <x:c r="AM44" s="36" t="str">
        <x:f>IF(R44="","",IF(T44="KOD HATALI","Öğrenci Kodu Hatalı",IF(OR(V44="",W44="",X44="",Y44="",Z44="",AF44="",AG44="",AJ44="",AK44=""),"Eksik Zorunlu Alan",IF(OR(Y44&lt;0,Z44&lt;0,Z44&gt;Y44),"Soru Sayısı Hatası",IF(AND(AD44&lt;&gt;"",AD44&lt;V44),"Ödev Tarihi Hatası",IF(COUNTIF($AL$5:AL44,AL44)&gt;1,"Mükerrer Form Kaydı","Aktarıma Hazır"))))))</x:f>
      </x:c>
      <x:c r="AN44" s="30"/>
      <x:c r="AO44" s="40"/>
      <x:c r="AP44" s="30"/>
    </x:row>
    <x:row r="45">
      <x:c r="A45" s="158"/>
      <x:c r="B45" s="44"/>
      <x:c r="C45" s="40"/>
      <x:c r="D45" s="30"/>
      <x:c r="E45" s="30"/>
      <x:c r="F45" s="30"/>
      <x:c r="G45" s="30"/>
      <x:c r="H45" s="30"/>
      <x:c r="I45" s="40"/>
      <x:c r="J45" s="30"/>
      <x:c r="K45" s="30"/>
      <x:c r="L45" s="30"/>
      <x:c r="M45" s="30"/>
      <x:c r="N45" s="30"/>
      <x:c r="O45" s="30"/>
      <x:c r="P45" s="30"/>
      <x:c r="R45" s="160" t="str">
        <x:f>IF(A45="","",A45)</x:f>
      </x:c>
      <x:c r="S45" s="126" t="str">
        <x:f>IF(B45="","",B45)</x:f>
      </x:c>
      <x:c r="T45" s="36" t="str">
        <x:f>IF(S45="","",IFERROR(INDEX('02_Öğrenciler'!$B$5:$B$203,MATCH(S45,'02_Öğrenciler'!$A$5:$A$203,0)),"KOD HATALI"))</x:f>
      </x:c>
      <x:c r="U45" s="36" t="str">
        <x:f>IF(S45="","",IFERROR(INDEX('02_Öğrenciler'!$C$5:$C$203,MATCH(S45,'02_Öğrenciler'!$A$5:$A$203,0)),""))</x:f>
      </x:c>
      <x:c r="V45" s="132" t="str">
        <x:f>IF(C45="","",C45)</x:f>
      </x:c>
      <x:c r="W45" s="36" t="str">
        <x:f>IF(D45="","",D45)</x:f>
      </x:c>
      <x:c r="X45" s="36" t="str">
        <x:f>IF(E45="","",E45)</x:f>
      </x:c>
      <x:c r="Y45" s="36" t="str">
        <x:f>IF(F45="","",F45)</x:f>
      </x:c>
      <x:c r="Z45" s="36" t="str">
        <x:f>IF(G45="","",G45)</x:f>
      </x:c>
      <x:c r="AA45" s="36" t="str">
        <x:f>IF(OR(Y45="",Z45=""),"",Y45-Z45)</x:f>
      </x:c>
      <x:c r="AB45" s="52" t="str">
        <x:f>IF(OR(Y45="",Z45=""),"",IFERROR(Z45/Y45,0))</x:f>
      </x:c>
      <x:c r="AC45" s="36" t="str">
        <x:f>IF(H45="","",H45)</x:f>
      </x:c>
      <x:c r="AD45" s="132" t="str">
        <x:f>IF(I45="","",I45)</x:f>
      </x:c>
      <x:c r="AE45" s="36" t="str">
        <x:f>IF(J45="","",J45)</x:f>
      </x:c>
      <x:c r="AF45" s="36" t="str">
        <x:f>IF(K45="","",K45)</x:f>
      </x:c>
      <x:c r="AG45" s="36" t="str">
        <x:f>IF(L45="","",L45)</x:f>
      </x:c>
      <x:c r="AH45" s="36" t="str">
        <x:f>IF(M45="","",M45)</x:f>
      </x:c>
      <x:c r="AI45" s="36" t="str">
        <x:f>IF(N45="","",N45)</x:f>
      </x:c>
      <x:c r="AJ45" s="36" t="str">
        <x:f>IF(O45="","",O45)</x:f>
      </x:c>
      <x:c r="AK45" s="36" t="str">
        <x:f>IF(P45="","",P45)</x:f>
      </x:c>
      <x:c r="AL45" s="36" t="str">
        <x:f>IF(R45="","",TEXT(R45,"yyyymmddhhmmss")&amp;"-"&amp;S45&amp;"-"&amp;TEXT(ROW()-4,"0000"))</x:f>
      </x:c>
      <x:c r="AM45" s="36" t="str">
        <x:f>IF(R45="","",IF(T45="KOD HATALI","Öğrenci Kodu Hatalı",IF(OR(V45="",W45="",X45="",Y45="",Z45="",AF45="",AG45="",AJ45="",AK45=""),"Eksik Zorunlu Alan",IF(OR(Y45&lt;0,Z45&lt;0,Z45&gt;Y45),"Soru Sayısı Hatası",IF(AND(AD45&lt;&gt;"",AD45&lt;V45),"Ödev Tarihi Hatası",IF(COUNTIF($AL$5:AL45,AL45)&gt;1,"Mükerrer Form Kaydı","Aktarıma Hazır"))))))</x:f>
      </x:c>
      <x:c r="AN45" s="30"/>
      <x:c r="AO45" s="40"/>
      <x:c r="AP45" s="30"/>
    </x:row>
    <x:row r="46">
      <x:c r="A46" s="158"/>
      <x:c r="B46" s="44"/>
      <x:c r="C46" s="40"/>
      <x:c r="D46" s="30"/>
      <x:c r="E46" s="30"/>
      <x:c r="F46" s="30"/>
      <x:c r="G46" s="30"/>
      <x:c r="H46" s="30"/>
      <x:c r="I46" s="40"/>
      <x:c r="J46" s="30"/>
      <x:c r="K46" s="30"/>
      <x:c r="L46" s="30"/>
      <x:c r="M46" s="30"/>
      <x:c r="N46" s="30"/>
      <x:c r="O46" s="30"/>
      <x:c r="P46" s="30"/>
      <x:c r="R46" s="160" t="str">
        <x:f>IF(A46="","",A46)</x:f>
      </x:c>
      <x:c r="S46" s="126" t="str">
        <x:f>IF(B46="","",B46)</x:f>
      </x:c>
      <x:c r="T46" s="36" t="str">
        <x:f>IF(S46="","",IFERROR(INDEX('02_Öğrenciler'!$B$5:$B$203,MATCH(S46,'02_Öğrenciler'!$A$5:$A$203,0)),"KOD HATALI"))</x:f>
      </x:c>
      <x:c r="U46" s="36" t="str">
        <x:f>IF(S46="","",IFERROR(INDEX('02_Öğrenciler'!$C$5:$C$203,MATCH(S46,'02_Öğrenciler'!$A$5:$A$203,0)),""))</x:f>
      </x:c>
      <x:c r="V46" s="132" t="str">
        <x:f>IF(C46="","",C46)</x:f>
      </x:c>
      <x:c r="W46" s="36" t="str">
        <x:f>IF(D46="","",D46)</x:f>
      </x:c>
      <x:c r="X46" s="36" t="str">
        <x:f>IF(E46="","",E46)</x:f>
      </x:c>
      <x:c r="Y46" s="36" t="str">
        <x:f>IF(F46="","",F46)</x:f>
      </x:c>
      <x:c r="Z46" s="36" t="str">
        <x:f>IF(G46="","",G46)</x:f>
      </x:c>
      <x:c r="AA46" s="36" t="str">
        <x:f>IF(OR(Y46="",Z46=""),"",Y46-Z46)</x:f>
      </x:c>
      <x:c r="AB46" s="52" t="str">
        <x:f>IF(OR(Y46="",Z46=""),"",IFERROR(Z46/Y46,0))</x:f>
      </x:c>
      <x:c r="AC46" s="36" t="str">
        <x:f>IF(H46="","",H46)</x:f>
      </x:c>
      <x:c r="AD46" s="132" t="str">
        <x:f>IF(I46="","",I46)</x:f>
      </x:c>
      <x:c r="AE46" s="36" t="str">
        <x:f>IF(J46="","",J46)</x:f>
      </x:c>
      <x:c r="AF46" s="36" t="str">
        <x:f>IF(K46="","",K46)</x:f>
      </x:c>
      <x:c r="AG46" s="36" t="str">
        <x:f>IF(L46="","",L46)</x:f>
      </x:c>
      <x:c r="AH46" s="36" t="str">
        <x:f>IF(M46="","",M46)</x:f>
      </x:c>
      <x:c r="AI46" s="36" t="str">
        <x:f>IF(N46="","",N46)</x:f>
      </x:c>
      <x:c r="AJ46" s="36" t="str">
        <x:f>IF(O46="","",O46)</x:f>
      </x:c>
      <x:c r="AK46" s="36" t="str">
        <x:f>IF(P46="","",P46)</x:f>
      </x:c>
      <x:c r="AL46" s="36" t="str">
        <x:f>IF(R46="","",TEXT(R46,"yyyymmddhhmmss")&amp;"-"&amp;S46&amp;"-"&amp;TEXT(ROW()-4,"0000"))</x:f>
      </x:c>
      <x:c r="AM46" s="36" t="str">
        <x:f>IF(R46="","",IF(T46="KOD HATALI","Öğrenci Kodu Hatalı",IF(OR(V46="",W46="",X46="",Y46="",Z46="",AF46="",AG46="",AJ46="",AK46=""),"Eksik Zorunlu Alan",IF(OR(Y46&lt;0,Z46&lt;0,Z46&gt;Y46),"Soru Sayısı Hatası",IF(AND(AD46&lt;&gt;"",AD46&lt;V46),"Ödev Tarihi Hatası",IF(COUNTIF($AL$5:AL46,AL46)&gt;1,"Mükerrer Form Kaydı","Aktarıma Hazır"))))))</x:f>
      </x:c>
      <x:c r="AN46" s="30"/>
      <x:c r="AO46" s="40"/>
      <x:c r="AP46" s="30"/>
    </x:row>
    <x:row r="47">
      <x:c r="A47" s="158"/>
      <x:c r="B47" s="44"/>
      <x:c r="C47" s="40"/>
      <x:c r="D47" s="30"/>
      <x:c r="E47" s="30"/>
      <x:c r="F47" s="30"/>
      <x:c r="G47" s="30"/>
      <x:c r="H47" s="30"/>
      <x:c r="I47" s="40"/>
      <x:c r="J47" s="30"/>
      <x:c r="K47" s="30"/>
      <x:c r="L47" s="30"/>
      <x:c r="M47" s="30"/>
      <x:c r="N47" s="30"/>
      <x:c r="O47" s="30"/>
      <x:c r="P47" s="30"/>
      <x:c r="R47" s="160" t="str">
        <x:f>IF(A47="","",A47)</x:f>
      </x:c>
      <x:c r="S47" s="126" t="str">
        <x:f>IF(B47="","",B47)</x:f>
      </x:c>
      <x:c r="T47" s="36" t="str">
        <x:f>IF(S47="","",IFERROR(INDEX('02_Öğrenciler'!$B$5:$B$203,MATCH(S47,'02_Öğrenciler'!$A$5:$A$203,0)),"KOD HATALI"))</x:f>
      </x:c>
      <x:c r="U47" s="36" t="str">
        <x:f>IF(S47="","",IFERROR(INDEX('02_Öğrenciler'!$C$5:$C$203,MATCH(S47,'02_Öğrenciler'!$A$5:$A$203,0)),""))</x:f>
      </x:c>
      <x:c r="V47" s="132" t="str">
        <x:f>IF(C47="","",C47)</x:f>
      </x:c>
      <x:c r="W47" s="36" t="str">
        <x:f>IF(D47="","",D47)</x:f>
      </x:c>
      <x:c r="X47" s="36" t="str">
        <x:f>IF(E47="","",E47)</x:f>
      </x:c>
      <x:c r="Y47" s="36" t="str">
        <x:f>IF(F47="","",F47)</x:f>
      </x:c>
      <x:c r="Z47" s="36" t="str">
        <x:f>IF(G47="","",G47)</x:f>
      </x:c>
      <x:c r="AA47" s="36" t="str">
        <x:f>IF(OR(Y47="",Z47=""),"",Y47-Z47)</x:f>
      </x:c>
      <x:c r="AB47" s="52" t="str">
        <x:f>IF(OR(Y47="",Z47=""),"",IFERROR(Z47/Y47,0))</x:f>
      </x:c>
      <x:c r="AC47" s="36" t="str">
        <x:f>IF(H47="","",H47)</x:f>
      </x:c>
      <x:c r="AD47" s="132" t="str">
        <x:f>IF(I47="","",I47)</x:f>
      </x:c>
      <x:c r="AE47" s="36" t="str">
        <x:f>IF(J47="","",J47)</x:f>
      </x:c>
      <x:c r="AF47" s="36" t="str">
        <x:f>IF(K47="","",K47)</x:f>
      </x:c>
      <x:c r="AG47" s="36" t="str">
        <x:f>IF(L47="","",L47)</x:f>
      </x:c>
      <x:c r="AH47" s="36" t="str">
        <x:f>IF(M47="","",M47)</x:f>
      </x:c>
      <x:c r="AI47" s="36" t="str">
        <x:f>IF(N47="","",N47)</x:f>
      </x:c>
      <x:c r="AJ47" s="36" t="str">
        <x:f>IF(O47="","",O47)</x:f>
      </x:c>
      <x:c r="AK47" s="36" t="str">
        <x:f>IF(P47="","",P47)</x:f>
      </x:c>
      <x:c r="AL47" s="36" t="str">
        <x:f>IF(R47="","",TEXT(R47,"yyyymmddhhmmss")&amp;"-"&amp;S47&amp;"-"&amp;TEXT(ROW()-4,"0000"))</x:f>
      </x:c>
      <x:c r="AM47" s="36" t="str">
        <x:f>IF(R47="","",IF(T47="KOD HATALI","Öğrenci Kodu Hatalı",IF(OR(V47="",W47="",X47="",Y47="",Z47="",AF47="",AG47="",AJ47="",AK47=""),"Eksik Zorunlu Alan",IF(OR(Y47&lt;0,Z47&lt;0,Z47&gt;Y47),"Soru Sayısı Hatası",IF(AND(AD47&lt;&gt;"",AD47&lt;V47),"Ödev Tarihi Hatası",IF(COUNTIF($AL$5:AL47,AL47)&gt;1,"Mükerrer Form Kaydı","Aktarıma Hazır"))))))</x:f>
      </x:c>
      <x:c r="AN47" s="30"/>
      <x:c r="AO47" s="40"/>
      <x:c r="AP47" s="30"/>
    </x:row>
    <x:row r="48">
      <x:c r="A48" s="158"/>
      <x:c r="B48" s="44"/>
      <x:c r="C48" s="40"/>
      <x:c r="D48" s="30"/>
      <x:c r="E48" s="30"/>
      <x:c r="F48" s="30"/>
      <x:c r="G48" s="30"/>
      <x:c r="H48" s="30"/>
      <x:c r="I48" s="40"/>
      <x:c r="J48" s="30"/>
      <x:c r="K48" s="30"/>
      <x:c r="L48" s="30"/>
      <x:c r="M48" s="30"/>
      <x:c r="N48" s="30"/>
      <x:c r="O48" s="30"/>
      <x:c r="P48" s="30"/>
      <x:c r="R48" s="160" t="str">
        <x:f>IF(A48="","",A48)</x:f>
      </x:c>
      <x:c r="S48" s="126" t="str">
        <x:f>IF(B48="","",B48)</x:f>
      </x:c>
      <x:c r="T48" s="36" t="str">
        <x:f>IF(S48="","",IFERROR(INDEX('02_Öğrenciler'!$B$5:$B$203,MATCH(S48,'02_Öğrenciler'!$A$5:$A$203,0)),"KOD HATALI"))</x:f>
      </x:c>
      <x:c r="U48" s="36" t="str">
        <x:f>IF(S48="","",IFERROR(INDEX('02_Öğrenciler'!$C$5:$C$203,MATCH(S48,'02_Öğrenciler'!$A$5:$A$203,0)),""))</x:f>
      </x:c>
      <x:c r="V48" s="132" t="str">
        <x:f>IF(C48="","",C48)</x:f>
      </x:c>
      <x:c r="W48" s="36" t="str">
        <x:f>IF(D48="","",D48)</x:f>
      </x:c>
      <x:c r="X48" s="36" t="str">
        <x:f>IF(E48="","",E48)</x:f>
      </x:c>
      <x:c r="Y48" s="36" t="str">
        <x:f>IF(F48="","",F48)</x:f>
      </x:c>
      <x:c r="Z48" s="36" t="str">
        <x:f>IF(G48="","",G48)</x:f>
      </x:c>
      <x:c r="AA48" s="36" t="str">
        <x:f>IF(OR(Y48="",Z48=""),"",Y48-Z48)</x:f>
      </x:c>
      <x:c r="AB48" s="52" t="str">
        <x:f>IF(OR(Y48="",Z48=""),"",IFERROR(Z48/Y48,0))</x:f>
      </x:c>
      <x:c r="AC48" s="36" t="str">
        <x:f>IF(H48="","",H48)</x:f>
      </x:c>
      <x:c r="AD48" s="132" t="str">
        <x:f>IF(I48="","",I48)</x:f>
      </x:c>
      <x:c r="AE48" s="36" t="str">
        <x:f>IF(J48="","",J48)</x:f>
      </x:c>
      <x:c r="AF48" s="36" t="str">
        <x:f>IF(K48="","",K48)</x:f>
      </x:c>
      <x:c r="AG48" s="36" t="str">
        <x:f>IF(L48="","",L48)</x:f>
      </x:c>
      <x:c r="AH48" s="36" t="str">
        <x:f>IF(M48="","",M48)</x:f>
      </x:c>
      <x:c r="AI48" s="36" t="str">
        <x:f>IF(N48="","",N48)</x:f>
      </x:c>
      <x:c r="AJ48" s="36" t="str">
        <x:f>IF(O48="","",O48)</x:f>
      </x:c>
      <x:c r="AK48" s="36" t="str">
        <x:f>IF(P48="","",P48)</x:f>
      </x:c>
      <x:c r="AL48" s="36" t="str">
        <x:f>IF(R48="","",TEXT(R48,"yyyymmddhhmmss")&amp;"-"&amp;S48&amp;"-"&amp;TEXT(ROW()-4,"0000"))</x:f>
      </x:c>
      <x:c r="AM48" s="36" t="str">
        <x:f>IF(R48="","",IF(T48="KOD HATALI","Öğrenci Kodu Hatalı",IF(OR(V48="",W48="",X48="",Y48="",Z48="",AF48="",AG48="",AJ48="",AK48=""),"Eksik Zorunlu Alan",IF(OR(Y48&lt;0,Z48&lt;0,Z48&gt;Y48),"Soru Sayısı Hatası",IF(AND(AD48&lt;&gt;"",AD48&lt;V48),"Ödev Tarihi Hatası",IF(COUNTIF($AL$5:AL48,AL48)&gt;1,"Mükerrer Form Kaydı","Aktarıma Hazır"))))))</x:f>
      </x:c>
      <x:c r="AN48" s="30"/>
      <x:c r="AO48" s="40"/>
      <x:c r="AP48" s="30"/>
    </x:row>
    <x:row r="49">
      <x:c r="A49" s="158"/>
      <x:c r="B49" s="44"/>
      <x:c r="C49" s="40"/>
      <x:c r="D49" s="30"/>
      <x:c r="E49" s="30"/>
      <x:c r="F49" s="30"/>
      <x:c r="G49" s="30"/>
      <x:c r="H49" s="30"/>
      <x:c r="I49" s="40"/>
      <x:c r="J49" s="30"/>
      <x:c r="K49" s="30"/>
      <x:c r="L49" s="30"/>
      <x:c r="M49" s="30"/>
      <x:c r="N49" s="30"/>
      <x:c r="O49" s="30"/>
      <x:c r="P49" s="30"/>
      <x:c r="R49" s="160" t="str">
        <x:f>IF(A49="","",A49)</x:f>
      </x:c>
      <x:c r="S49" s="126" t="str">
        <x:f>IF(B49="","",B49)</x:f>
      </x:c>
      <x:c r="T49" s="36" t="str">
        <x:f>IF(S49="","",IFERROR(INDEX('02_Öğrenciler'!$B$5:$B$203,MATCH(S49,'02_Öğrenciler'!$A$5:$A$203,0)),"KOD HATALI"))</x:f>
      </x:c>
      <x:c r="U49" s="36" t="str">
        <x:f>IF(S49="","",IFERROR(INDEX('02_Öğrenciler'!$C$5:$C$203,MATCH(S49,'02_Öğrenciler'!$A$5:$A$203,0)),""))</x:f>
      </x:c>
      <x:c r="V49" s="132" t="str">
        <x:f>IF(C49="","",C49)</x:f>
      </x:c>
      <x:c r="W49" s="36" t="str">
        <x:f>IF(D49="","",D49)</x:f>
      </x:c>
      <x:c r="X49" s="36" t="str">
        <x:f>IF(E49="","",E49)</x:f>
      </x:c>
      <x:c r="Y49" s="36" t="str">
        <x:f>IF(F49="","",F49)</x:f>
      </x:c>
      <x:c r="Z49" s="36" t="str">
        <x:f>IF(G49="","",G49)</x:f>
      </x:c>
      <x:c r="AA49" s="36" t="str">
        <x:f>IF(OR(Y49="",Z49=""),"",Y49-Z49)</x:f>
      </x:c>
      <x:c r="AB49" s="52" t="str">
        <x:f>IF(OR(Y49="",Z49=""),"",IFERROR(Z49/Y49,0))</x:f>
      </x:c>
      <x:c r="AC49" s="36" t="str">
        <x:f>IF(H49="","",H49)</x:f>
      </x:c>
      <x:c r="AD49" s="132" t="str">
        <x:f>IF(I49="","",I49)</x:f>
      </x:c>
      <x:c r="AE49" s="36" t="str">
        <x:f>IF(J49="","",J49)</x:f>
      </x:c>
      <x:c r="AF49" s="36" t="str">
        <x:f>IF(K49="","",K49)</x:f>
      </x:c>
      <x:c r="AG49" s="36" t="str">
        <x:f>IF(L49="","",L49)</x:f>
      </x:c>
      <x:c r="AH49" s="36" t="str">
        <x:f>IF(M49="","",M49)</x:f>
      </x:c>
      <x:c r="AI49" s="36" t="str">
        <x:f>IF(N49="","",N49)</x:f>
      </x:c>
      <x:c r="AJ49" s="36" t="str">
        <x:f>IF(O49="","",O49)</x:f>
      </x:c>
      <x:c r="AK49" s="36" t="str">
        <x:f>IF(P49="","",P49)</x:f>
      </x:c>
      <x:c r="AL49" s="36" t="str">
        <x:f>IF(R49="","",TEXT(R49,"yyyymmddhhmmss")&amp;"-"&amp;S49&amp;"-"&amp;TEXT(ROW()-4,"0000"))</x:f>
      </x:c>
      <x:c r="AM49" s="36" t="str">
        <x:f>IF(R49="","",IF(T49="KOD HATALI","Öğrenci Kodu Hatalı",IF(OR(V49="",W49="",X49="",Y49="",Z49="",AF49="",AG49="",AJ49="",AK49=""),"Eksik Zorunlu Alan",IF(OR(Y49&lt;0,Z49&lt;0,Z49&gt;Y49),"Soru Sayısı Hatası",IF(AND(AD49&lt;&gt;"",AD49&lt;V49),"Ödev Tarihi Hatası",IF(COUNTIF($AL$5:AL49,AL49)&gt;1,"Mükerrer Form Kaydı","Aktarıma Hazır"))))))</x:f>
      </x:c>
      <x:c r="AN49" s="30"/>
      <x:c r="AO49" s="40"/>
      <x:c r="AP49" s="30"/>
    </x:row>
    <x:row r="50">
      <x:c r="A50" s="158"/>
      <x:c r="B50" s="44"/>
      <x:c r="C50" s="40"/>
      <x:c r="D50" s="30"/>
      <x:c r="E50" s="30"/>
      <x:c r="F50" s="30"/>
      <x:c r="G50" s="30"/>
      <x:c r="H50" s="30"/>
      <x:c r="I50" s="40"/>
      <x:c r="J50" s="30"/>
      <x:c r="K50" s="30"/>
      <x:c r="L50" s="30"/>
      <x:c r="M50" s="30"/>
      <x:c r="N50" s="30"/>
      <x:c r="O50" s="30"/>
      <x:c r="P50" s="30"/>
      <x:c r="R50" s="160" t="str">
        <x:f>IF(A50="","",A50)</x:f>
      </x:c>
      <x:c r="S50" s="126" t="str">
        <x:f>IF(B50="","",B50)</x:f>
      </x:c>
      <x:c r="T50" s="36" t="str">
        <x:f>IF(S50="","",IFERROR(INDEX('02_Öğrenciler'!$B$5:$B$203,MATCH(S50,'02_Öğrenciler'!$A$5:$A$203,0)),"KOD HATALI"))</x:f>
      </x:c>
      <x:c r="U50" s="36" t="str">
        <x:f>IF(S50="","",IFERROR(INDEX('02_Öğrenciler'!$C$5:$C$203,MATCH(S50,'02_Öğrenciler'!$A$5:$A$203,0)),""))</x:f>
      </x:c>
      <x:c r="V50" s="132" t="str">
        <x:f>IF(C50="","",C50)</x:f>
      </x:c>
      <x:c r="W50" s="36" t="str">
        <x:f>IF(D50="","",D50)</x:f>
      </x:c>
      <x:c r="X50" s="36" t="str">
        <x:f>IF(E50="","",E50)</x:f>
      </x:c>
      <x:c r="Y50" s="36" t="str">
        <x:f>IF(F50="","",F50)</x:f>
      </x:c>
      <x:c r="Z50" s="36" t="str">
        <x:f>IF(G50="","",G50)</x:f>
      </x:c>
      <x:c r="AA50" s="36" t="str">
        <x:f>IF(OR(Y50="",Z50=""),"",Y50-Z50)</x:f>
      </x:c>
      <x:c r="AB50" s="52" t="str">
        <x:f>IF(OR(Y50="",Z50=""),"",IFERROR(Z50/Y50,0))</x:f>
      </x:c>
      <x:c r="AC50" s="36" t="str">
        <x:f>IF(H50="","",H50)</x:f>
      </x:c>
      <x:c r="AD50" s="132" t="str">
        <x:f>IF(I50="","",I50)</x:f>
      </x:c>
      <x:c r="AE50" s="36" t="str">
        <x:f>IF(J50="","",J50)</x:f>
      </x:c>
      <x:c r="AF50" s="36" t="str">
        <x:f>IF(K50="","",K50)</x:f>
      </x:c>
      <x:c r="AG50" s="36" t="str">
        <x:f>IF(L50="","",L50)</x:f>
      </x:c>
      <x:c r="AH50" s="36" t="str">
        <x:f>IF(M50="","",M50)</x:f>
      </x:c>
      <x:c r="AI50" s="36" t="str">
        <x:f>IF(N50="","",N50)</x:f>
      </x:c>
      <x:c r="AJ50" s="36" t="str">
        <x:f>IF(O50="","",O50)</x:f>
      </x:c>
      <x:c r="AK50" s="36" t="str">
        <x:f>IF(P50="","",P50)</x:f>
      </x:c>
      <x:c r="AL50" s="36" t="str">
        <x:f>IF(R50="","",TEXT(R50,"yyyymmddhhmmss")&amp;"-"&amp;S50&amp;"-"&amp;TEXT(ROW()-4,"0000"))</x:f>
      </x:c>
      <x:c r="AM50" s="36" t="str">
        <x:f>IF(R50="","",IF(T50="KOD HATALI","Öğrenci Kodu Hatalı",IF(OR(V50="",W50="",X50="",Y50="",Z50="",AF50="",AG50="",AJ50="",AK50=""),"Eksik Zorunlu Alan",IF(OR(Y50&lt;0,Z50&lt;0,Z50&gt;Y50),"Soru Sayısı Hatası",IF(AND(AD50&lt;&gt;"",AD50&lt;V50),"Ödev Tarihi Hatası",IF(COUNTIF($AL$5:AL50,AL50)&gt;1,"Mükerrer Form Kaydı","Aktarıma Hazır"))))))</x:f>
      </x:c>
      <x:c r="AN50" s="30"/>
      <x:c r="AO50" s="40"/>
      <x:c r="AP50" s="30"/>
    </x:row>
    <x:row r="51">
      <x:c r="A51" s="158"/>
      <x:c r="B51" s="44"/>
      <x:c r="C51" s="40"/>
      <x:c r="D51" s="30"/>
      <x:c r="E51" s="30"/>
      <x:c r="F51" s="30"/>
      <x:c r="G51" s="30"/>
      <x:c r="H51" s="30"/>
      <x:c r="I51" s="40"/>
      <x:c r="J51" s="30"/>
      <x:c r="K51" s="30"/>
      <x:c r="L51" s="30"/>
      <x:c r="M51" s="30"/>
      <x:c r="N51" s="30"/>
      <x:c r="O51" s="30"/>
      <x:c r="P51" s="30"/>
      <x:c r="R51" s="160" t="str">
        <x:f>IF(A51="","",A51)</x:f>
      </x:c>
      <x:c r="S51" s="126" t="str">
        <x:f>IF(B51="","",B51)</x:f>
      </x:c>
      <x:c r="T51" s="36" t="str">
        <x:f>IF(S51="","",IFERROR(INDEX('02_Öğrenciler'!$B$5:$B$203,MATCH(S51,'02_Öğrenciler'!$A$5:$A$203,0)),"KOD HATALI"))</x:f>
      </x:c>
      <x:c r="U51" s="36" t="str">
        <x:f>IF(S51="","",IFERROR(INDEX('02_Öğrenciler'!$C$5:$C$203,MATCH(S51,'02_Öğrenciler'!$A$5:$A$203,0)),""))</x:f>
      </x:c>
      <x:c r="V51" s="132" t="str">
        <x:f>IF(C51="","",C51)</x:f>
      </x:c>
      <x:c r="W51" s="36" t="str">
        <x:f>IF(D51="","",D51)</x:f>
      </x:c>
      <x:c r="X51" s="36" t="str">
        <x:f>IF(E51="","",E51)</x:f>
      </x:c>
      <x:c r="Y51" s="36" t="str">
        <x:f>IF(F51="","",F51)</x:f>
      </x:c>
      <x:c r="Z51" s="36" t="str">
        <x:f>IF(G51="","",G51)</x:f>
      </x:c>
      <x:c r="AA51" s="36" t="str">
        <x:f>IF(OR(Y51="",Z51=""),"",Y51-Z51)</x:f>
      </x:c>
      <x:c r="AB51" s="52" t="str">
        <x:f>IF(OR(Y51="",Z51=""),"",IFERROR(Z51/Y51,0))</x:f>
      </x:c>
      <x:c r="AC51" s="36" t="str">
        <x:f>IF(H51="","",H51)</x:f>
      </x:c>
      <x:c r="AD51" s="132" t="str">
        <x:f>IF(I51="","",I51)</x:f>
      </x:c>
      <x:c r="AE51" s="36" t="str">
        <x:f>IF(J51="","",J51)</x:f>
      </x:c>
      <x:c r="AF51" s="36" t="str">
        <x:f>IF(K51="","",K51)</x:f>
      </x:c>
      <x:c r="AG51" s="36" t="str">
        <x:f>IF(L51="","",L51)</x:f>
      </x:c>
      <x:c r="AH51" s="36" t="str">
        <x:f>IF(M51="","",M51)</x:f>
      </x:c>
      <x:c r="AI51" s="36" t="str">
        <x:f>IF(N51="","",N51)</x:f>
      </x:c>
      <x:c r="AJ51" s="36" t="str">
        <x:f>IF(O51="","",O51)</x:f>
      </x:c>
      <x:c r="AK51" s="36" t="str">
        <x:f>IF(P51="","",P51)</x:f>
      </x:c>
      <x:c r="AL51" s="36" t="str">
        <x:f>IF(R51="","",TEXT(R51,"yyyymmddhhmmss")&amp;"-"&amp;S51&amp;"-"&amp;TEXT(ROW()-4,"0000"))</x:f>
      </x:c>
      <x:c r="AM51" s="36" t="str">
        <x:f>IF(R51="","",IF(T51="KOD HATALI","Öğrenci Kodu Hatalı",IF(OR(V51="",W51="",X51="",Y51="",Z51="",AF51="",AG51="",AJ51="",AK51=""),"Eksik Zorunlu Alan",IF(OR(Y51&lt;0,Z51&lt;0,Z51&gt;Y51),"Soru Sayısı Hatası",IF(AND(AD51&lt;&gt;"",AD51&lt;V51),"Ödev Tarihi Hatası",IF(COUNTIF($AL$5:AL51,AL51)&gt;1,"Mükerrer Form Kaydı","Aktarıma Hazır"))))))</x:f>
      </x:c>
      <x:c r="AN51" s="30"/>
      <x:c r="AO51" s="40"/>
      <x:c r="AP51" s="30"/>
    </x:row>
    <x:row r="52">
      <x:c r="A52" s="158"/>
      <x:c r="B52" s="44"/>
      <x:c r="C52" s="40"/>
      <x:c r="D52" s="30"/>
      <x:c r="E52" s="30"/>
      <x:c r="F52" s="30"/>
      <x:c r="G52" s="30"/>
      <x:c r="H52" s="30"/>
      <x:c r="I52" s="40"/>
      <x:c r="J52" s="30"/>
      <x:c r="K52" s="30"/>
      <x:c r="L52" s="30"/>
      <x:c r="M52" s="30"/>
      <x:c r="N52" s="30"/>
      <x:c r="O52" s="30"/>
      <x:c r="P52" s="30"/>
      <x:c r="R52" s="160" t="str">
        <x:f>IF(A52="","",A52)</x:f>
      </x:c>
      <x:c r="S52" s="126" t="str">
        <x:f>IF(B52="","",B52)</x:f>
      </x:c>
      <x:c r="T52" s="36" t="str">
        <x:f>IF(S52="","",IFERROR(INDEX('02_Öğrenciler'!$B$5:$B$203,MATCH(S52,'02_Öğrenciler'!$A$5:$A$203,0)),"KOD HATALI"))</x:f>
      </x:c>
      <x:c r="U52" s="36" t="str">
        <x:f>IF(S52="","",IFERROR(INDEX('02_Öğrenciler'!$C$5:$C$203,MATCH(S52,'02_Öğrenciler'!$A$5:$A$203,0)),""))</x:f>
      </x:c>
      <x:c r="V52" s="132" t="str">
        <x:f>IF(C52="","",C52)</x:f>
      </x:c>
      <x:c r="W52" s="36" t="str">
        <x:f>IF(D52="","",D52)</x:f>
      </x:c>
      <x:c r="X52" s="36" t="str">
        <x:f>IF(E52="","",E52)</x:f>
      </x:c>
      <x:c r="Y52" s="36" t="str">
        <x:f>IF(F52="","",F52)</x:f>
      </x:c>
      <x:c r="Z52" s="36" t="str">
        <x:f>IF(G52="","",G52)</x:f>
      </x:c>
      <x:c r="AA52" s="36" t="str">
        <x:f>IF(OR(Y52="",Z52=""),"",Y52-Z52)</x:f>
      </x:c>
      <x:c r="AB52" s="52" t="str">
        <x:f>IF(OR(Y52="",Z52=""),"",IFERROR(Z52/Y52,0))</x:f>
      </x:c>
      <x:c r="AC52" s="36" t="str">
        <x:f>IF(H52="","",H52)</x:f>
      </x:c>
      <x:c r="AD52" s="132" t="str">
        <x:f>IF(I52="","",I52)</x:f>
      </x:c>
      <x:c r="AE52" s="36" t="str">
        <x:f>IF(J52="","",J52)</x:f>
      </x:c>
      <x:c r="AF52" s="36" t="str">
        <x:f>IF(K52="","",K52)</x:f>
      </x:c>
      <x:c r="AG52" s="36" t="str">
        <x:f>IF(L52="","",L52)</x:f>
      </x:c>
      <x:c r="AH52" s="36" t="str">
        <x:f>IF(M52="","",M52)</x:f>
      </x:c>
      <x:c r="AI52" s="36" t="str">
        <x:f>IF(N52="","",N52)</x:f>
      </x:c>
      <x:c r="AJ52" s="36" t="str">
        <x:f>IF(O52="","",O52)</x:f>
      </x:c>
      <x:c r="AK52" s="36" t="str">
        <x:f>IF(P52="","",P52)</x:f>
      </x:c>
      <x:c r="AL52" s="36" t="str">
        <x:f>IF(R52="","",TEXT(R52,"yyyymmddhhmmss")&amp;"-"&amp;S52&amp;"-"&amp;TEXT(ROW()-4,"0000"))</x:f>
      </x:c>
      <x:c r="AM52" s="36" t="str">
        <x:f>IF(R52="","",IF(T52="KOD HATALI","Öğrenci Kodu Hatalı",IF(OR(V52="",W52="",X52="",Y52="",Z52="",AF52="",AG52="",AJ52="",AK52=""),"Eksik Zorunlu Alan",IF(OR(Y52&lt;0,Z52&lt;0,Z52&gt;Y52),"Soru Sayısı Hatası",IF(AND(AD52&lt;&gt;"",AD52&lt;V52),"Ödev Tarihi Hatası",IF(COUNTIF($AL$5:AL52,AL52)&gt;1,"Mükerrer Form Kaydı","Aktarıma Hazır"))))))</x:f>
      </x:c>
      <x:c r="AN52" s="30"/>
      <x:c r="AO52" s="40"/>
      <x:c r="AP52" s="30"/>
    </x:row>
    <x:row r="53">
      <x:c r="A53" s="158"/>
      <x:c r="B53" s="44"/>
      <x:c r="C53" s="40"/>
      <x:c r="D53" s="30"/>
      <x:c r="E53" s="30"/>
      <x:c r="F53" s="30"/>
      <x:c r="G53" s="30"/>
      <x:c r="H53" s="30"/>
      <x:c r="I53" s="40"/>
      <x:c r="J53" s="30"/>
      <x:c r="K53" s="30"/>
      <x:c r="L53" s="30"/>
      <x:c r="M53" s="30"/>
      <x:c r="N53" s="30"/>
      <x:c r="O53" s="30"/>
      <x:c r="P53" s="30"/>
      <x:c r="R53" s="160" t="str">
        <x:f>IF(A53="","",A53)</x:f>
      </x:c>
      <x:c r="S53" s="126" t="str">
        <x:f>IF(B53="","",B53)</x:f>
      </x:c>
      <x:c r="T53" s="36" t="str">
        <x:f>IF(S53="","",IFERROR(INDEX('02_Öğrenciler'!$B$5:$B$203,MATCH(S53,'02_Öğrenciler'!$A$5:$A$203,0)),"KOD HATALI"))</x:f>
      </x:c>
      <x:c r="U53" s="36" t="str">
        <x:f>IF(S53="","",IFERROR(INDEX('02_Öğrenciler'!$C$5:$C$203,MATCH(S53,'02_Öğrenciler'!$A$5:$A$203,0)),""))</x:f>
      </x:c>
      <x:c r="V53" s="132" t="str">
        <x:f>IF(C53="","",C53)</x:f>
      </x:c>
      <x:c r="W53" s="36" t="str">
        <x:f>IF(D53="","",D53)</x:f>
      </x:c>
      <x:c r="X53" s="36" t="str">
        <x:f>IF(E53="","",E53)</x:f>
      </x:c>
      <x:c r="Y53" s="36" t="str">
        <x:f>IF(F53="","",F53)</x:f>
      </x:c>
      <x:c r="Z53" s="36" t="str">
        <x:f>IF(G53="","",G53)</x:f>
      </x:c>
      <x:c r="AA53" s="36" t="str">
        <x:f>IF(OR(Y53="",Z53=""),"",Y53-Z53)</x:f>
      </x:c>
      <x:c r="AB53" s="52" t="str">
        <x:f>IF(OR(Y53="",Z53=""),"",IFERROR(Z53/Y53,0))</x:f>
      </x:c>
      <x:c r="AC53" s="36" t="str">
        <x:f>IF(H53="","",H53)</x:f>
      </x:c>
      <x:c r="AD53" s="132" t="str">
        <x:f>IF(I53="","",I53)</x:f>
      </x:c>
      <x:c r="AE53" s="36" t="str">
        <x:f>IF(J53="","",J53)</x:f>
      </x:c>
      <x:c r="AF53" s="36" t="str">
        <x:f>IF(K53="","",K53)</x:f>
      </x:c>
      <x:c r="AG53" s="36" t="str">
        <x:f>IF(L53="","",L53)</x:f>
      </x:c>
      <x:c r="AH53" s="36" t="str">
        <x:f>IF(M53="","",M53)</x:f>
      </x:c>
      <x:c r="AI53" s="36" t="str">
        <x:f>IF(N53="","",N53)</x:f>
      </x:c>
      <x:c r="AJ53" s="36" t="str">
        <x:f>IF(O53="","",O53)</x:f>
      </x:c>
      <x:c r="AK53" s="36" t="str">
        <x:f>IF(P53="","",P53)</x:f>
      </x:c>
      <x:c r="AL53" s="36" t="str">
        <x:f>IF(R53="","",TEXT(R53,"yyyymmddhhmmss")&amp;"-"&amp;S53&amp;"-"&amp;TEXT(ROW()-4,"0000"))</x:f>
      </x:c>
      <x:c r="AM53" s="36" t="str">
        <x:f>IF(R53="","",IF(T53="KOD HATALI","Öğrenci Kodu Hatalı",IF(OR(V53="",W53="",X53="",Y53="",Z53="",AF53="",AG53="",AJ53="",AK53=""),"Eksik Zorunlu Alan",IF(OR(Y53&lt;0,Z53&lt;0,Z53&gt;Y53),"Soru Sayısı Hatası",IF(AND(AD53&lt;&gt;"",AD53&lt;V53),"Ödev Tarihi Hatası",IF(COUNTIF($AL$5:AL53,AL53)&gt;1,"Mükerrer Form Kaydı","Aktarıma Hazır"))))))</x:f>
      </x:c>
      <x:c r="AN53" s="30"/>
      <x:c r="AO53" s="40"/>
      <x:c r="AP53" s="30"/>
    </x:row>
    <x:row r="54">
      <x:c r="A54" s="158"/>
      <x:c r="B54" s="44"/>
      <x:c r="C54" s="40"/>
      <x:c r="D54" s="30"/>
      <x:c r="E54" s="30"/>
      <x:c r="F54" s="30"/>
      <x:c r="G54" s="30"/>
      <x:c r="H54" s="30"/>
      <x:c r="I54" s="40"/>
      <x:c r="J54" s="30"/>
      <x:c r="K54" s="30"/>
      <x:c r="L54" s="30"/>
      <x:c r="M54" s="30"/>
      <x:c r="N54" s="30"/>
      <x:c r="O54" s="30"/>
      <x:c r="P54" s="30"/>
      <x:c r="R54" s="160" t="str">
        <x:f>IF(A54="","",A54)</x:f>
      </x:c>
      <x:c r="S54" s="126" t="str">
        <x:f>IF(B54="","",B54)</x:f>
      </x:c>
      <x:c r="T54" s="36" t="str">
        <x:f>IF(S54="","",IFERROR(INDEX('02_Öğrenciler'!$B$5:$B$203,MATCH(S54,'02_Öğrenciler'!$A$5:$A$203,0)),"KOD HATALI"))</x:f>
      </x:c>
      <x:c r="U54" s="36" t="str">
        <x:f>IF(S54="","",IFERROR(INDEX('02_Öğrenciler'!$C$5:$C$203,MATCH(S54,'02_Öğrenciler'!$A$5:$A$203,0)),""))</x:f>
      </x:c>
      <x:c r="V54" s="132" t="str">
        <x:f>IF(C54="","",C54)</x:f>
      </x:c>
      <x:c r="W54" s="36" t="str">
        <x:f>IF(D54="","",D54)</x:f>
      </x:c>
      <x:c r="X54" s="36" t="str">
        <x:f>IF(E54="","",E54)</x:f>
      </x:c>
      <x:c r="Y54" s="36" t="str">
        <x:f>IF(F54="","",F54)</x:f>
      </x:c>
      <x:c r="Z54" s="36" t="str">
        <x:f>IF(G54="","",G54)</x:f>
      </x:c>
      <x:c r="AA54" s="36" t="str">
        <x:f>IF(OR(Y54="",Z54=""),"",Y54-Z54)</x:f>
      </x:c>
      <x:c r="AB54" s="52" t="str">
        <x:f>IF(OR(Y54="",Z54=""),"",IFERROR(Z54/Y54,0))</x:f>
      </x:c>
      <x:c r="AC54" s="36" t="str">
        <x:f>IF(H54="","",H54)</x:f>
      </x:c>
      <x:c r="AD54" s="132" t="str">
        <x:f>IF(I54="","",I54)</x:f>
      </x:c>
      <x:c r="AE54" s="36" t="str">
        <x:f>IF(J54="","",J54)</x:f>
      </x:c>
      <x:c r="AF54" s="36" t="str">
        <x:f>IF(K54="","",K54)</x:f>
      </x:c>
      <x:c r="AG54" s="36" t="str">
        <x:f>IF(L54="","",L54)</x:f>
      </x:c>
      <x:c r="AH54" s="36" t="str">
        <x:f>IF(M54="","",M54)</x:f>
      </x:c>
      <x:c r="AI54" s="36" t="str">
        <x:f>IF(N54="","",N54)</x:f>
      </x:c>
      <x:c r="AJ54" s="36" t="str">
        <x:f>IF(O54="","",O54)</x:f>
      </x:c>
      <x:c r="AK54" s="36" t="str">
        <x:f>IF(P54="","",P54)</x:f>
      </x:c>
      <x:c r="AL54" s="36" t="str">
        <x:f>IF(R54="","",TEXT(R54,"yyyymmddhhmmss")&amp;"-"&amp;S54&amp;"-"&amp;TEXT(ROW()-4,"0000"))</x:f>
      </x:c>
      <x:c r="AM54" s="36" t="str">
        <x:f>IF(R54="","",IF(T54="KOD HATALI","Öğrenci Kodu Hatalı",IF(OR(V54="",W54="",X54="",Y54="",Z54="",AF54="",AG54="",AJ54="",AK54=""),"Eksik Zorunlu Alan",IF(OR(Y54&lt;0,Z54&lt;0,Z54&gt;Y54),"Soru Sayısı Hatası",IF(AND(AD54&lt;&gt;"",AD54&lt;V54),"Ödev Tarihi Hatası",IF(COUNTIF($AL$5:AL54,AL54)&gt;1,"Mükerrer Form Kaydı","Aktarıma Hazır"))))))</x:f>
      </x:c>
      <x:c r="AN54" s="30"/>
      <x:c r="AO54" s="40"/>
      <x:c r="AP54" s="30"/>
    </x:row>
    <x:row r="55">
      <x:c r="A55" s="158"/>
      <x:c r="B55" s="44"/>
      <x:c r="C55" s="40"/>
      <x:c r="D55" s="30"/>
      <x:c r="E55" s="30"/>
      <x:c r="F55" s="30"/>
      <x:c r="G55" s="30"/>
      <x:c r="H55" s="30"/>
      <x:c r="I55" s="40"/>
      <x:c r="J55" s="30"/>
      <x:c r="K55" s="30"/>
      <x:c r="L55" s="30"/>
      <x:c r="M55" s="30"/>
      <x:c r="N55" s="30"/>
      <x:c r="O55" s="30"/>
      <x:c r="P55" s="30"/>
      <x:c r="R55" s="160" t="str">
        <x:f>IF(A55="","",A55)</x:f>
      </x:c>
      <x:c r="S55" s="126" t="str">
        <x:f>IF(B55="","",B55)</x:f>
      </x:c>
      <x:c r="T55" s="36" t="str">
        <x:f>IF(S55="","",IFERROR(INDEX('02_Öğrenciler'!$B$5:$B$203,MATCH(S55,'02_Öğrenciler'!$A$5:$A$203,0)),"KOD HATALI"))</x:f>
      </x:c>
      <x:c r="U55" s="36" t="str">
        <x:f>IF(S55="","",IFERROR(INDEX('02_Öğrenciler'!$C$5:$C$203,MATCH(S55,'02_Öğrenciler'!$A$5:$A$203,0)),""))</x:f>
      </x:c>
      <x:c r="V55" s="132" t="str">
        <x:f>IF(C55="","",C55)</x:f>
      </x:c>
      <x:c r="W55" s="36" t="str">
        <x:f>IF(D55="","",D55)</x:f>
      </x:c>
      <x:c r="X55" s="36" t="str">
        <x:f>IF(E55="","",E55)</x:f>
      </x:c>
      <x:c r="Y55" s="36" t="str">
        <x:f>IF(F55="","",F55)</x:f>
      </x:c>
      <x:c r="Z55" s="36" t="str">
        <x:f>IF(G55="","",G55)</x:f>
      </x:c>
      <x:c r="AA55" s="36" t="str">
        <x:f>IF(OR(Y55="",Z55=""),"",Y55-Z55)</x:f>
      </x:c>
      <x:c r="AB55" s="52" t="str">
        <x:f>IF(OR(Y55="",Z55=""),"",IFERROR(Z55/Y55,0))</x:f>
      </x:c>
      <x:c r="AC55" s="36" t="str">
        <x:f>IF(H55="","",H55)</x:f>
      </x:c>
      <x:c r="AD55" s="132" t="str">
        <x:f>IF(I55="","",I55)</x:f>
      </x:c>
      <x:c r="AE55" s="36" t="str">
        <x:f>IF(J55="","",J55)</x:f>
      </x:c>
      <x:c r="AF55" s="36" t="str">
        <x:f>IF(K55="","",K55)</x:f>
      </x:c>
      <x:c r="AG55" s="36" t="str">
        <x:f>IF(L55="","",L55)</x:f>
      </x:c>
      <x:c r="AH55" s="36" t="str">
        <x:f>IF(M55="","",M55)</x:f>
      </x:c>
      <x:c r="AI55" s="36" t="str">
        <x:f>IF(N55="","",N55)</x:f>
      </x:c>
      <x:c r="AJ55" s="36" t="str">
        <x:f>IF(O55="","",O55)</x:f>
      </x:c>
      <x:c r="AK55" s="36" t="str">
        <x:f>IF(P55="","",P55)</x:f>
      </x:c>
      <x:c r="AL55" s="36" t="str">
        <x:f>IF(R55="","",TEXT(R55,"yyyymmddhhmmss")&amp;"-"&amp;S55&amp;"-"&amp;TEXT(ROW()-4,"0000"))</x:f>
      </x:c>
      <x:c r="AM55" s="36" t="str">
        <x:f>IF(R55="","",IF(T55="KOD HATALI","Öğrenci Kodu Hatalı",IF(OR(V55="",W55="",X55="",Y55="",Z55="",AF55="",AG55="",AJ55="",AK55=""),"Eksik Zorunlu Alan",IF(OR(Y55&lt;0,Z55&lt;0,Z55&gt;Y55),"Soru Sayısı Hatası",IF(AND(AD55&lt;&gt;"",AD55&lt;V55),"Ödev Tarihi Hatası",IF(COUNTIF($AL$5:AL55,AL55)&gt;1,"Mükerrer Form Kaydı","Aktarıma Hazır"))))))</x:f>
      </x:c>
      <x:c r="AN55" s="30"/>
      <x:c r="AO55" s="40"/>
      <x:c r="AP55" s="30"/>
    </x:row>
    <x:row r="56">
      <x:c r="A56" s="158"/>
      <x:c r="B56" s="44"/>
      <x:c r="C56" s="40"/>
      <x:c r="D56" s="30"/>
      <x:c r="E56" s="30"/>
      <x:c r="F56" s="30"/>
      <x:c r="G56" s="30"/>
      <x:c r="H56" s="30"/>
      <x:c r="I56" s="40"/>
      <x:c r="J56" s="30"/>
      <x:c r="K56" s="30"/>
      <x:c r="L56" s="30"/>
      <x:c r="M56" s="30"/>
      <x:c r="N56" s="30"/>
      <x:c r="O56" s="30"/>
      <x:c r="P56" s="30"/>
      <x:c r="R56" s="160" t="str">
        <x:f>IF(A56="","",A56)</x:f>
      </x:c>
      <x:c r="S56" s="126" t="str">
        <x:f>IF(B56="","",B56)</x:f>
      </x:c>
      <x:c r="T56" s="36" t="str">
        <x:f>IF(S56="","",IFERROR(INDEX('02_Öğrenciler'!$B$5:$B$203,MATCH(S56,'02_Öğrenciler'!$A$5:$A$203,0)),"KOD HATALI"))</x:f>
      </x:c>
      <x:c r="U56" s="36" t="str">
        <x:f>IF(S56="","",IFERROR(INDEX('02_Öğrenciler'!$C$5:$C$203,MATCH(S56,'02_Öğrenciler'!$A$5:$A$203,0)),""))</x:f>
      </x:c>
      <x:c r="V56" s="132" t="str">
        <x:f>IF(C56="","",C56)</x:f>
      </x:c>
      <x:c r="W56" s="36" t="str">
        <x:f>IF(D56="","",D56)</x:f>
      </x:c>
      <x:c r="X56" s="36" t="str">
        <x:f>IF(E56="","",E56)</x:f>
      </x:c>
      <x:c r="Y56" s="36" t="str">
        <x:f>IF(F56="","",F56)</x:f>
      </x:c>
      <x:c r="Z56" s="36" t="str">
        <x:f>IF(G56="","",G56)</x:f>
      </x:c>
      <x:c r="AA56" s="36" t="str">
        <x:f>IF(OR(Y56="",Z56=""),"",Y56-Z56)</x:f>
      </x:c>
      <x:c r="AB56" s="52" t="str">
        <x:f>IF(OR(Y56="",Z56=""),"",IFERROR(Z56/Y56,0))</x:f>
      </x:c>
      <x:c r="AC56" s="36" t="str">
        <x:f>IF(H56="","",H56)</x:f>
      </x:c>
      <x:c r="AD56" s="132" t="str">
        <x:f>IF(I56="","",I56)</x:f>
      </x:c>
      <x:c r="AE56" s="36" t="str">
        <x:f>IF(J56="","",J56)</x:f>
      </x:c>
      <x:c r="AF56" s="36" t="str">
        <x:f>IF(K56="","",K56)</x:f>
      </x:c>
      <x:c r="AG56" s="36" t="str">
        <x:f>IF(L56="","",L56)</x:f>
      </x:c>
      <x:c r="AH56" s="36" t="str">
        <x:f>IF(M56="","",M56)</x:f>
      </x:c>
      <x:c r="AI56" s="36" t="str">
        <x:f>IF(N56="","",N56)</x:f>
      </x:c>
      <x:c r="AJ56" s="36" t="str">
        <x:f>IF(O56="","",O56)</x:f>
      </x:c>
      <x:c r="AK56" s="36" t="str">
        <x:f>IF(P56="","",P56)</x:f>
      </x:c>
      <x:c r="AL56" s="36" t="str">
        <x:f>IF(R56="","",TEXT(R56,"yyyymmddhhmmss")&amp;"-"&amp;S56&amp;"-"&amp;TEXT(ROW()-4,"0000"))</x:f>
      </x:c>
      <x:c r="AM56" s="36" t="str">
        <x:f>IF(R56="","",IF(T56="KOD HATALI","Öğrenci Kodu Hatalı",IF(OR(V56="",W56="",X56="",Y56="",Z56="",AF56="",AG56="",AJ56="",AK56=""),"Eksik Zorunlu Alan",IF(OR(Y56&lt;0,Z56&lt;0,Z56&gt;Y56),"Soru Sayısı Hatası",IF(AND(AD56&lt;&gt;"",AD56&lt;V56),"Ödev Tarihi Hatası",IF(COUNTIF($AL$5:AL56,AL56)&gt;1,"Mükerrer Form Kaydı","Aktarıma Hazır"))))))</x:f>
      </x:c>
      <x:c r="AN56" s="30"/>
      <x:c r="AO56" s="40"/>
      <x:c r="AP56" s="30"/>
    </x:row>
    <x:row r="57">
      <x:c r="A57" s="158"/>
      <x:c r="B57" s="44"/>
      <x:c r="C57" s="40"/>
      <x:c r="D57" s="30"/>
      <x:c r="E57" s="30"/>
      <x:c r="F57" s="30"/>
      <x:c r="G57" s="30"/>
      <x:c r="H57" s="30"/>
      <x:c r="I57" s="40"/>
      <x:c r="J57" s="30"/>
      <x:c r="K57" s="30"/>
      <x:c r="L57" s="30"/>
      <x:c r="M57" s="30"/>
      <x:c r="N57" s="30"/>
      <x:c r="O57" s="30"/>
      <x:c r="P57" s="30"/>
      <x:c r="R57" s="160" t="str">
        <x:f>IF(A57="","",A57)</x:f>
      </x:c>
      <x:c r="S57" s="126" t="str">
        <x:f>IF(B57="","",B57)</x:f>
      </x:c>
      <x:c r="T57" s="36" t="str">
        <x:f>IF(S57="","",IFERROR(INDEX('02_Öğrenciler'!$B$5:$B$203,MATCH(S57,'02_Öğrenciler'!$A$5:$A$203,0)),"KOD HATALI"))</x:f>
      </x:c>
      <x:c r="U57" s="36" t="str">
        <x:f>IF(S57="","",IFERROR(INDEX('02_Öğrenciler'!$C$5:$C$203,MATCH(S57,'02_Öğrenciler'!$A$5:$A$203,0)),""))</x:f>
      </x:c>
      <x:c r="V57" s="132" t="str">
        <x:f>IF(C57="","",C57)</x:f>
      </x:c>
      <x:c r="W57" s="36" t="str">
        <x:f>IF(D57="","",D57)</x:f>
      </x:c>
      <x:c r="X57" s="36" t="str">
        <x:f>IF(E57="","",E57)</x:f>
      </x:c>
      <x:c r="Y57" s="36" t="str">
        <x:f>IF(F57="","",F57)</x:f>
      </x:c>
      <x:c r="Z57" s="36" t="str">
        <x:f>IF(G57="","",G57)</x:f>
      </x:c>
      <x:c r="AA57" s="36" t="str">
        <x:f>IF(OR(Y57="",Z57=""),"",Y57-Z57)</x:f>
      </x:c>
      <x:c r="AB57" s="52" t="str">
        <x:f>IF(OR(Y57="",Z57=""),"",IFERROR(Z57/Y57,0))</x:f>
      </x:c>
      <x:c r="AC57" s="36" t="str">
        <x:f>IF(H57="","",H57)</x:f>
      </x:c>
      <x:c r="AD57" s="132" t="str">
        <x:f>IF(I57="","",I57)</x:f>
      </x:c>
      <x:c r="AE57" s="36" t="str">
        <x:f>IF(J57="","",J57)</x:f>
      </x:c>
      <x:c r="AF57" s="36" t="str">
        <x:f>IF(K57="","",K57)</x:f>
      </x:c>
      <x:c r="AG57" s="36" t="str">
        <x:f>IF(L57="","",L57)</x:f>
      </x:c>
      <x:c r="AH57" s="36" t="str">
        <x:f>IF(M57="","",M57)</x:f>
      </x:c>
      <x:c r="AI57" s="36" t="str">
        <x:f>IF(N57="","",N57)</x:f>
      </x:c>
      <x:c r="AJ57" s="36" t="str">
        <x:f>IF(O57="","",O57)</x:f>
      </x:c>
      <x:c r="AK57" s="36" t="str">
        <x:f>IF(P57="","",P57)</x:f>
      </x:c>
      <x:c r="AL57" s="36" t="str">
        <x:f>IF(R57="","",TEXT(R57,"yyyymmddhhmmss")&amp;"-"&amp;S57&amp;"-"&amp;TEXT(ROW()-4,"0000"))</x:f>
      </x:c>
      <x:c r="AM57" s="36" t="str">
        <x:f>IF(R57="","",IF(T57="KOD HATALI","Öğrenci Kodu Hatalı",IF(OR(V57="",W57="",X57="",Y57="",Z57="",AF57="",AG57="",AJ57="",AK57=""),"Eksik Zorunlu Alan",IF(OR(Y57&lt;0,Z57&lt;0,Z57&gt;Y57),"Soru Sayısı Hatası",IF(AND(AD57&lt;&gt;"",AD57&lt;V57),"Ödev Tarihi Hatası",IF(COUNTIF($AL$5:AL57,AL57)&gt;1,"Mükerrer Form Kaydı","Aktarıma Hazır"))))))</x:f>
      </x:c>
      <x:c r="AN57" s="30"/>
      <x:c r="AO57" s="40"/>
      <x:c r="AP57" s="30"/>
    </x:row>
    <x:row r="58">
      <x:c r="A58" s="158"/>
      <x:c r="B58" s="44"/>
      <x:c r="C58" s="40"/>
      <x:c r="D58" s="30"/>
      <x:c r="E58" s="30"/>
      <x:c r="F58" s="30"/>
      <x:c r="G58" s="30"/>
      <x:c r="H58" s="30"/>
      <x:c r="I58" s="40"/>
      <x:c r="J58" s="30"/>
      <x:c r="K58" s="30"/>
      <x:c r="L58" s="30"/>
      <x:c r="M58" s="30"/>
      <x:c r="N58" s="30"/>
      <x:c r="O58" s="30"/>
      <x:c r="P58" s="30"/>
      <x:c r="R58" s="160" t="str">
        <x:f>IF(A58="","",A58)</x:f>
      </x:c>
      <x:c r="S58" s="126" t="str">
        <x:f>IF(B58="","",B58)</x:f>
      </x:c>
      <x:c r="T58" s="36" t="str">
        <x:f>IF(S58="","",IFERROR(INDEX('02_Öğrenciler'!$B$5:$B$203,MATCH(S58,'02_Öğrenciler'!$A$5:$A$203,0)),"KOD HATALI"))</x:f>
      </x:c>
      <x:c r="U58" s="36" t="str">
        <x:f>IF(S58="","",IFERROR(INDEX('02_Öğrenciler'!$C$5:$C$203,MATCH(S58,'02_Öğrenciler'!$A$5:$A$203,0)),""))</x:f>
      </x:c>
      <x:c r="V58" s="132" t="str">
        <x:f>IF(C58="","",C58)</x:f>
      </x:c>
      <x:c r="W58" s="36" t="str">
        <x:f>IF(D58="","",D58)</x:f>
      </x:c>
      <x:c r="X58" s="36" t="str">
        <x:f>IF(E58="","",E58)</x:f>
      </x:c>
      <x:c r="Y58" s="36" t="str">
        <x:f>IF(F58="","",F58)</x:f>
      </x:c>
      <x:c r="Z58" s="36" t="str">
        <x:f>IF(G58="","",G58)</x:f>
      </x:c>
      <x:c r="AA58" s="36" t="str">
        <x:f>IF(OR(Y58="",Z58=""),"",Y58-Z58)</x:f>
      </x:c>
      <x:c r="AB58" s="52" t="str">
        <x:f>IF(OR(Y58="",Z58=""),"",IFERROR(Z58/Y58,0))</x:f>
      </x:c>
      <x:c r="AC58" s="36" t="str">
        <x:f>IF(H58="","",H58)</x:f>
      </x:c>
      <x:c r="AD58" s="132" t="str">
        <x:f>IF(I58="","",I58)</x:f>
      </x:c>
      <x:c r="AE58" s="36" t="str">
        <x:f>IF(J58="","",J58)</x:f>
      </x:c>
      <x:c r="AF58" s="36" t="str">
        <x:f>IF(K58="","",K58)</x:f>
      </x:c>
      <x:c r="AG58" s="36" t="str">
        <x:f>IF(L58="","",L58)</x:f>
      </x:c>
      <x:c r="AH58" s="36" t="str">
        <x:f>IF(M58="","",M58)</x:f>
      </x:c>
      <x:c r="AI58" s="36" t="str">
        <x:f>IF(N58="","",N58)</x:f>
      </x:c>
      <x:c r="AJ58" s="36" t="str">
        <x:f>IF(O58="","",O58)</x:f>
      </x:c>
      <x:c r="AK58" s="36" t="str">
        <x:f>IF(P58="","",P58)</x:f>
      </x:c>
      <x:c r="AL58" s="36" t="str">
        <x:f>IF(R58="","",TEXT(R58,"yyyymmddhhmmss")&amp;"-"&amp;S58&amp;"-"&amp;TEXT(ROW()-4,"0000"))</x:f>
      </x:c>
      <x:c r="AM58" s="36" t="str">
        <x:f>IF(R58="","",IF(T58="KOD HATALI","Öğrenci Kodu Hatalı",IF(OR(V58="",W58="",X58="",Y58="",Z58="",AF58="",AG58="",AJ58="",AK58=""),"Eksik Zorunlu Alan",IF(OR(Y58&lt;0,Z58&lt;0,Z58&gt;Y58),"Soru Sayısı Hatası",IF(AND(AD58&lt;&gt;"",AD58&lt;V58),"Ödev Tarihi Hatası",IF(COUNTIF($AL$5:AL58,AL58)&gt;1,"Mükerrer Form Kaydı","Aktarıma Hazır"))))))</x:f>
      </x:c>
      <x:c r="AN58" s="30"/>
      <x:c r="AO58" s="40"/>
      <x:c r="AP58" s="30"/>
    </x:row>
    <x:row r="59">
      <x:c r="A59" s="158"/>
      <x:c r="B59" s="44"/>
      <x:c r="C59" s="40"/>
      <x:c r="D59" s="30"/>
      <x:c r="E59" s="30"/>
      <x:c r="F59" s="30"/>
      <x:c r="G59" s="30"/>
      <x:c r="H59" s="30"/>
      <x:c r="I59" s="40"/>
      <x:c r="J59" s="30"/>
      <x:c r="K59" s="30"/>
      <x:c r="L59" s="30"/>
      <x:c r="M59" s="30"/>
      <x:c r="N59" s="30"/>
      <x:c r="O59" s="30"/>
      <x:c r="P59" s="30"/>
      <x:c r="R59" s="160" t="str">
        <x:f>IF(A59="","",A59)</x:f>
      </x:c>
      <x:c r="S59" s="126" t="str">
        <x:f>IF(B59="","",B59)</x:f>
      </x:c>
      <x:c r="T59" s="36" t="str">
        <x:f>IF(S59="","",IFERROR(INDEX('02_Öğrenciler'!$B$5:$B$203,MATCH(S59,'02_Öğrenciler'!$A$5:$A$203,0)),"KOD HATALI"))</x:f>
      </x:c>
      <x:c r="U59" s="36" t="str">
        <x:f>IF(S59="","",IFERROR(INDEX('02_Öğrenciler'!$C$5:$C$203,MATCH(S59,'02_Öğrenciler'!$A$5:$A$203,0)),""))</x:f>
      </x:c>
      <x:c r="V59" s="132" t="str">
        <x:f>IF(C59="","",C59)</x:f>
      </x:c>
      <x:c r="W59" s="36" t="str">
        <x:f>IF(D59="","",D59)</x:f>
      </x:c>
      <x:c r="X59" s="36" t="str">
        <x:f>IF(E59="","",E59)</x:f>
      </x:c>
      <x:c r="Y59" s="36" t="str">
        <x:f>IF(F59="","",F59)</x:f>
      </x:c>
      <x:c r="Z59" s="36" t="str">
        <x:f>IF(G59="","",G59)</x:f>
      </x:c>
      <x:c r="AA59" s="36" t="str">
        <x:f>IF(OR(Y59="",Z59=""),"",Y59-Z59)</x:f>
      </x:c>
      <x:c r="AB59" s="52" t="str">
        <x:f>IF(OR(Y59="",Z59=""),"",IFERROR(Z59/Y59,0))</x:f>
      </x:c>
      <x:c r="AC59" s="36" t="str">
        <x:f>IF(H59="","",H59)</x:f>
      </x:c>
      <x:c r="AD59" s="132" t="str">
        <x:f>IF(I59="","",I59)</x:f>
      </x:c>
      <x:c r="AE59" s="36" t="str">
        <x:f>IF(J59="","",J59)</x:f>
      </x:c>
      <x:c r="AF59" s="36" t="str">
        <x:f>IF(K59="","",K59)</x:f>
      </x:c>
      <x:c r="AG59" s="36" t="str">
        <x:f>IF(L59="","",L59)</x:f>
      </x:c>
      <x:c r="AH59" s="36" t="str">
        <x:f>IF(M59="","",M59)</x:f>
      </x:c>
      <x:c r="AI59" s="36" t="str">
        <x:f>IF(N59="","",N59)</x:f>
      </x:c>
      <x:c r="AJ59" s="36" t="str">
        <x:f>IF(O59="","",O59)</x:f>
      </x:c>
      <x:c r="AK59" s="36" t="str">
        <x:f>IF(P59="","",P59)</x:f>
      </x:c>
      <x:c r="AL59" s="36" t="str">
        <x:f>IF(R59="","",TEXT(R59,"yyyymmddhhmmss")&amp;"-"&amp;S59&amp;"-"&amp;TEXT(ROW()-4,"0000"))</x:f>
      </x:c>
      <x:c r="AM59" s="36" t="str">
        <x:f>IF(R59="","",IF(T59="KOD HATALI","Öğrenci Kodu Hatalı",IF(OR(V59="",W59="",X59="",Y59="",Z59="",AF59="",AG59="",AJ59="",AK59=""),"Eksik Zorunlu Alan",IF(OR(Y59&lt;0,Z59&lt;0,Z59&gt;Y59),"Soru Sayısı Hatası",IF(AND(AD59&lt;&gt;"",AD59&lt;V59),"Ödev Tarihi Hatası",IF(COUNTIF($AL$5:AL59,AL59)&gt;1,"Mükerrer Form Kaydı","Aktarıma Hazır"))))))</x:f>
      </x:c>
      <x:c r="AN59" s="30"/>
      <x:c r="AO59" s="40"/>
      <x:c r="AP59" s="30"/>
    </x:row>
    <x:row r="60">
      <x:c r="A60" s="158"/>
      <x:c r="B60" s="44"/>
      <x:c r="C60" s="40"/>
      <x:c r="D60" s="30"/>
      <x:c r="E60" s="30"/>
      <x:c r="F60" s="30"/>
      <x:c r="G60" s="30"/>
      <x:c r="H60" s="30"/>
      <x:c r="I60" s="40"/>
      <x:c r="J60" s="30"/>
      <x:c r="K60" s="30"/>
      <x:c r="L60" s="30"/>
      <x:c r="M60" s="30"/>
      <x:c r="N60" s="30"/>
      <x:c r="O60" s="30"/>
      <x:c r="P60" s="30"/>
      <x:c r="R60" s="160" t="str">
        <x:f>IF(A60="","",A60)</x:f>
      </x:c>
      <x:c r="S60" s="126" t="str">
        <x:f>IF(B60="","",B60)</x:f>
      </x:c>
      <x:c r="T60" s="36" t="str">
        <x:f>IF(S60="","",IFERROR(INDEX('02_Öğrenciler'!$B$5:$B$203,MATCH(S60,'02_Öğrenciler'!$A$5:$A$203,0)),"KOD HATALI"))</x:f>
      </x:c>
      <x:c r="U60" s="36" t="str">
        <x:f>IF(S60="","",IFERROR(INDEX('02_Öğrenciler'!$C$5:$C$203,MATCH(S60,'02_Öğrenciler'!$A$5:$A$203,0)),""))</x:f>
      </x:c>
      <x:c r="V60" s="132" t="str">
        <x:f>IF(C60="","",C60)</x:f>
      </x:c>
      <x:c r="W60" s="36" t="str">
        <x:f>IF(D60="","",D60)</x:f>
      </x:c>
      <x:c r="X60" s="36" t="str">
        <x:f>IF(E60="","",E60)</x:f>
      </x:c>
      <x:c r="Y60" s="36" t="str">
        <x:f>IF(F60="","",F60)</x:f>
      </x:c>
      <x:c r="Z60" s="36" t="str">
        <x:f>IF(G60="","",G60)</x:f>
      </x:c>
      <x:c r="AA60" s="36" t="str">
        <x:f>IF(OR(Y60="",Z60=""),"",Y60-Z60)</x:f>
      </x:c>
      <x:c r="AB60" s="52" t="str">
        <x:f>IF(OR(Y60="",Z60=""),"",IFERROR(Z60/Y60,0))</x:f>
      </x:c>
      <x:c r="AC60" s="36" t="str">
        <x:f>IF(H60="","",H60)</x:f>
      </x:c>
      <x:c r="AD60" s="132" t="str">
        <x:f>IF(I60="","",I60)</x:f>
      </x:c>
      <x:c r="AE60" s="36" t="str">
        <x:f>IF(J60="","",J60)</x:f>
      </x:c>
      <x:c r="AF60" s="36" t="str">
        <x:f>IF(K60="","",K60)</x:f>
      </x:c>
      <x:c r="AG60" s="36" t="str">
        <x:f>IF(L60="","",L60)</x:f>
      </x:c>
      <x:c r="AH60" s="36" t="str">
        <x:f>IF(M60="","",M60)</x:f>
      </x:c>
      <x:c r="AI60" s="36" t="str">
        <x:f>IF(N60="","",N60)</x:f>
      </x:c>
      <x:c r="AJ60" s="36" t="str">
        <x:f>IF(O60="","",O60)</x:f>
      </x:c>
      <x:c r="AK60" s="36" t="str">
        <x:f>IF(P60="","",P60)</x:f>
      </x:c>
      <x:c r="AL60" s="36" t="str">
        <x:f>IF(R60="","",TEXT(R60,"yyyymmddhhmmss")&amp;"-"&amp;S60&amp;"-"&amp;TEXT(ROW()-4,"0000"))</x:f>
      </x:c>
      <x:c r="AM60" s="36" t="str">
        <x:f>IF(R60="","",IF(T60="KOD HATALI","Öğrenci Kodu Hatalı",IF(OR(V60="",W60="",X60="",Y60="",Z60="",AF60="",AG60="",AJ60="",AK60=""),"Eksik Zorunlu Alan",IF(OR(Y60&lt;0,Z60&lt;0,Z60&gt;Y60),"Soru Sayısı Hatası",IF(AND(AD60&lt;&gt;"",AD60&lt;V60),"Ödev Tarihi Hatası",IF(COUNTIF($AL$5:AL60,AL60)&gt;1,"Mükerrer Form Kaydı","Aktarıma Hazır"))))))</x:f>
      </x:c>
      <x:c r="AN60" s="30"/>
      <x:c r="AO60" s="40"/>
      <x:c r="AP60" s="30"/>
    </x:row>
    <x:row r="61">
      <x:c r="A61" s="158"/>
      <x:c r="B61" s="44"/>
      <x:c r="C61" s="40"/>
      <x:c r="D61" s="30"/>
      <x:c r="E61" s="30"/>
      <x:c r="F61" s="30"/>
      <x:c r="G61" s="30"/>
      <x:c r="H61" s="30"/>
      <x:c r="I61" s="40"/>
      <x:c r="J61" s="30"/>
      <x:c r="K61" s="30"/>
      <x:c r="L61" s="30"/>
      <x:c r="M61" s="30"/>
      <x:c r="N61" s="30"/>
      <x:c r="O61" s="30"/>
      <x:c r="P61" s="30"/>
      <x:c r="R61" s="160" t="str">
        <x:f>IF(A61="","",A61)</x:f>
      </x:c>
      <x:c r="S61" s="126" t="str">
        <x:f>IF(B61="","",B61)</x:f>
      </x:c>
      <x:c r="T61" s="36" t="str">
        <x:f>IF(S61="","",IFERROR(INDEX('02_Öğrenciler'!$B$5:$B$203,MATCH(S61,'02_Öğrenciler'!$A$5:$A$203,0)),"KOD HATALI"))</x:f>
      </x:c>
      <x:c r="U61" s="36" t="str">
        <x:f>IF(S61="","",IFERROR(INDEX('02_Öğrenciler'!$C$5:$C$203,MATCH(S61,'02_Öğrenciler'!$A$5:$A$203,0)),""))</x:f>
      </x:c>
      <x:c r="V61" s="132" t="str">
        <x:f>IF(C61="","",C61)</x:f>
      </x:c>
      <x:c r="W61" s="36" t="str">
        <x:f>IF(D61="","",D61)</x:f>
      </x:c>
      <x:c r="X61" s="36" t="str">
        <x:f>IF(E61="","",E61)</x:f>
      </x:c>
      <x:c r="Y61" s="36" t="str">
        <x:f>IF(F61="","",F61)</x:f>
      </x:c>
      <x:c r="Z61" s="36" t="str">
        <x:f>IF(G61="","",G61)</x:f>
      </x:c>
      <x:c r="AA61" s="36" t="str">
        <x:f>IF(OR(Y61="",Z61=""),"",Y61-Z61)</x:f>
      </x:c>
      <x:c r="AB61" s="52" t="str">
        <x:f>IF(OR(Y61="",Z61=""),"",IFERROR(Z61/Y61,0))</x:f>
      </x:c>
      <x:c r="AC61" s="36" t="str">
        <x:f>IF(H61="","",H61)</x:f>
      </x:c>
      <x:c r="AD61" s="132" t="str">
        <x:f>IF(I61="","",I61)</x:f>
      </x:c>
      <x:c r="AE61" s="36" t="str">
        <x:f>IF(J61="","",J61)</x:f>
      </x:c>
      <x:c r="AF61" s="36" t="str">
        <x:f>IF(K61="","",K61)</x:f>
      </x:c>
      <x:c r="AG61" s="36" t="str">
        <x:f>IF(L61="","",L61)</x:f>
      </x:c>
      <x:c r="AH61" s="36" t="str">
        <x:f>IF(M61="","",M61)</x:f>
      </x:c>
      <x:c r="AI61" s="36" t="str">
        <x:f>IF(N61="","",N61)</x:f>
      </x:c>
      <x:c r="AJ61" s="36" t="str">
        <x:f>IF(O61="","",O61)</x:f>
      </x:c>
      <x:c r="AK61" s="36" t="str">
        <x:f>IF(P61="","",P61)</x:f>
      </x:c>
      <x:c r="AL61" s="36" t="str">
        <x:f>IF(R61="","",TEXT(R61,"yyyymmddhhmmss")&amp;"-"&amp;S61&amp;"-"&amp;TEXT(ROW()-4,"0000"))</x:f>
      </x:c>
      <x:c r="AM61" s="36" t="str">
        <x:f>IF(R61="","",IF(T61="KOD HATALI","Öğrenci Kodu Hatalı",IF(OR(V61="",W61="",X61="",Y61="",Z61="",AF61="",AG61="",AJ61="",AK61=""),"Eksik Zorunlu Alan",IF(OR(Y61&lt;0,Z61&lt;0,Z61&gt;Y61),"Soru Sayısı Hatası",IF(AND(AD61&lt;&gt;"",AD61&lt;V61),"Ödev Tarihi Hatası",IF(COUNTIF($AL$5:AL61,AL61)&gt;1,"Mükerrer Form Kaydı","Aktarıma Hazır"))))))</x:f>
      </x:c>
      <x:c r="AN61" s="30"/>
      <x:c r="AO61" s="40"/>
      <x:c r="AP61" s="30"/>
    </x:row>
    <x:row r="62">
      <x:c r="A62" s="158"/>
      <x:c r="B62" s="44"/>
      <x:c r="C62" s="40"/>
      <x:c r="D62" s="30"/>
      <x:c r="E62" s="30"/>
      <x:c r="F62" s="30"/>
      <x:c r="G62" s="30"/>
      <x:c r="H62" s="30"/>
      <x:c r="I62" s="40"/>
      <x:c r="J62" s="30"/>
      <x:c r="K62" s="30"/>
      <x:c r="L62" s="30"/>
      <x:c r="M62" s="30"/>
      <x:c r="N62" s="30"/>
      <x:c r="O62" s="30"/>
      <x:c r="P62" s="30"/>
      <x:c r="R62" s="160" t="str">
        <x:f>IF(A62="","",A62)</x:f>
      </x:c>
      <x:c r="S62" s="126" t="str">
        <x:f>IF(B62="","",B62)</x:f>
      </x:c>
      <x:c r="T62" s="36" t="str">
        <x:f>IF(S62="","",IFERROR(INDEX('02_Öğrenciler'!$B$5:$B$203,MATCH(S62,'02_Öğrenciler'!$A$5:$A$203,0)),"KOD HATALI"))</x:f>
      </x:c>
      <x:c r="U62" s="36" t="str">
        <x:f>IF(S62="","",IFERROR(INDEX('02_Öğrenciler'!$C$5:$C$203,MATCH(S62,'02_Öğrenciler'!$A$5:$A$203,0)),""))</x:f>
      </x:c>
      <x:c r="V62" s="132" t="str">
        <x:f>IF(C62="","",C62)</x:f>
      </x:c>
      <x:c r="W62" s="36" t="str">
        <x:f>IF(D62="","",D62)</x:f>
      </x:c>
      <x:c r="X62" s="36" t="str">
        <x:f>IF(E62="","",E62)</x:f>
      </x:c>
      <x:c r="Y62" s="36" t="str">
        <x:f>IF(F62="","",F62)</x:f>
      </x:c>
      <x:c r="Z62" s="36" t="str">
        <x:f>IF(G62="","",G62)</x:f>
      </x:c>
      <x:c r="AA62" s="36" t="str">
        <x:f>IF(OR(Y62="",Z62=""),"",Y62-Z62)</x:f>
      </x:c>
      <x:c r="AB62" s="52" t="str">
        <x:f>IF(OR(Y62="",Z62=""),"",IFERROR(Z62/Y62,0))</x:f>
      </x:c>
      <x:c r="AC62" s="36" t="str">
        <x:f>IF(H62="","",H62)</x:f>
      </x:c>
      <x:c r="AD62" s="132" t="str">
        <x:f>IF(I62="","",I62)</x:f>
      </x:c>
      <x:c r="AE62" s="36" t="str">
        <x:f>IF(J62="","",J62)</x:f>
      </x:c>
      <x:c r="AF62" s="36" t="str">
        <x:f>IF(K62="","",K62)</x:f>
      </x:c>
      <x:c r="AG62" s="36" t="str">
        <x:f>IF(L62="","",L62)</x:f>
      </x:c>
      <x:c r="AH62" s="36" t="str">
        <x:f>IF(M62="","",M62)</x:f>
      </x:c>
      <x:c r="AI62" s="36" t="str">
        <x:f>IF(N62="","",N62)</x:f>
      </x:c>
      <x:c r="AJ62" s="36" t="str">
        <x:f>IF(O62="","",O62)</x:f>
      </x:c>
      <x:c r="AK62" s="36" t="str">
        <x:f>IF(P62="","",P62)</x:f>
      </x:c>
      <x:c r="AL62" s="36" t="str">
        <x:f>IF(R62="","",TEXT(R62,"yyyymmddhhmmss")&amp;"-"&amp;S62&amp;"-"&amp;TEXT(ROW()-4,"0000"))</x:f>
      </x:c>
      <x:c r="AM62" s="36" t="str">
        <x:f>IF(R62="","",IF(T62="KOD HATALI","Öğrenci Kodu Hatalı",IF(OR(V62="",W62="",X62="",Y62="",Z62="",AF62="",AG62="",AJ62="",AK62=""),"Eksik Zorunlu Alan",IF(OR(Y62&lt;0,Z62&lt;0,Z62&gt;Y62),"Soru Sayısı Hatası",IF(AND(AD62&lt;&gt;"",AD62&lt;V62),"Ödev Tarihi Hatası",IF(COUNTIF($AL$5:AL62,AL62)&gt;1,"Mükerrer Form Kaydı","Aktarıma Hazır"))))))</x:f>
      </x:c>
      <x:c r="AN62" s="30"/>
      <x:c r="AO62" s="40"/>
      <x:c r="AP62" s="30"/>
    </x:row>
    <x:row r="63">
      <x:c r="A63" s="158"/>
      <x:c r="B63" s="44"/>
      <x:c r="C63" s="40"/>
      <x:c r="D63" s="30"/>
      <x:c r="E63" s="30"/>
      <x:c r="F63" s="30"/>
      <x:c r="G63" s="30"/>
      <x:c r="H63" s="30"/>
      <x:c r="I63" s="40"/>
      <x:c r="J63" s="30"/>
      <x:c r="K63" s="30"/>
      <x:c r="L63" s="30"/>
      <x:c r="M63" s="30"/>
      <x:c r="N63" s="30"/>
      <x:c r="O63" s="30"/>
      <x:c r="P63" s="30"/>
      <x:c r="R63" s="160" t="str">
        <x:f>IF(A63="","",A63)</x:f>
      </x:c>
      <x:c r="S63" s="126" t="str">
        <x:f>IF(B63="","",B63)</x:f>
      </x:c>
      <x:c r="T63" s="36" t="str">
        <x:f>IF(S63="","",IFERROR(INDEX('02_Öğrenciler'!$B$5:$B$203,MATCH(S63,'02_Öğrenciler'!$A$5:$A$203,0)),"KOD HATALI"))</x:f>
      </x:c>
      <x:c r="U63" s="36" t="str">
        <x:f>IF(S63="","",IFERROR(INDEX('02_Öğrenciler'!$C$5:$C$203,MATCH(S63,'02_Öğrenciler'!$A$5:$A$203,0)),""))</x:f>
      </x:c>
      <x:c r="V63" s="132" t="str">
        <x:f>IF(C63="","",C63)</x:f>
      </x:c>
      <x:c r="W63" s="36" t="str">
        <x:f>IF(D63="","",D63)</x:f>
      </x:c>
      <x:c r="X63" s="36" t="str">
        <x:f>IF(E63="","",E63)</x:f>
      </x:c>
      <x:c r="Y63" s="36" t="str">
        <x:f>IF(F63="","",F63)</x:f>
      </x:c>
      <x:c r="Z63" s="36" t="str">
        <x:f>IF(G63="","",G63)</x:f>
      </x:c>
      <x:c r="AA63" s="36" t="str">
        <x:f>IF(OR(Y63="",Z63=""),"",Y63-Z63)</x:f>
      </x:c>
      <x:c r="AB63" s="52" t="str">
        <x:f>IF(OR(Y63="",Z63=""),"",IFERROR(Z63/Y63,0))</x:f>
      </x:c>
      <x:c r="AC63" s="36" t="str">
        <x:f>IF(H63="","",H63)</x:f>
      </x:c>
      <x:c r="AD63" s="132" t="str">
        <x:f>IF(I63="","",I63)</x:f>
      </x:c>
      <x:c r="AE63" s="36" t="str">
        <x:f>IF(J63="","",J63)</x:f>
      </x:c>
      <x:c r="AF63" s="36" t="str">
        <x:f>IF(K63="","",K63)</x:f>
      </x:c>
      <x:c r="AG63" s="36" t="str">
        <x:f>IF(L63="","",L63)</x:f>
      </x:c>
      <x:c r="AH63" s="36" t="str">
        <x:f>IF(M63="","",M63)</x:f>
      </x:c>
      <x:c r="AI63" s="36" t="str">
        <x:f>IF(N63="","",N63)</x:f>
      </x:c>
      <x:c r="AJ63" s="36" t="str">
        <x:f>IF(O63="","",O63)</x:f>
      </x:c>
      <x:c r="AK63" s="36" t="str">
        <x:f>IF(P63="","",P63)</x:f>
      </x:c>
      <x:c r="AL63" s="36" t="str">
        <x:f>IF(R63="","",TEXT(R63,"yyyymmddhhmmss")&amp;"-"&amp;S63&amp;"-"&amp;TEXT(ROW()-4,"0000"))</x:f>
      </x:c>
      <x:c r="AM63" s="36" t="str">
        <x:f>IF(R63="","",IF(T63="KOD HATALI","Öğrenci Kodu Hatalı",IF(OR(V63="",W63="",X63="",Y63="",Z63="",AF63="",AG63="",AJ63="",AK63=""),"Eksik Zorunlu Alan",IF(OR(Y63&lt;0,Z63&lt;0,Z63&gt;Y63),"Soru Sayısı Hatası",IF(AND(AD63&lt;&gt;"",AD63&lt;V63),"Ödev Tarihi Hatası",IF(COUNTIF($AL$5:AL63,AL63)&gt;1,"Mükerrer Form Kaydı","Aktarıma Hazır"))))))</x:f>
      </x:c>
      <x:c r="AN63" s="30"/>
      <x:c r="AO63" s="40"/>
      <x:c r="AP63" s="30"/>
    </x:row>
    <x:row r="64">
      <x:c r="A64" s="158"/>
      <x:c r="B64" s="44"/>
      <x:c r="C64" s="40"/>
      <x:c r="D64" s="30"/>
      <x:c r="E64" s="30"/>
      <x:c r="F64" s="30"/>
      <x:c r="G64" s="30"/>
      <x:c r="H64" s="30"/>
      <x:c r="I64" s="40"/>
      <x:c r="J64" s="30"/>
      <x:c r="K64" s="30"/>
      <x:c r="L64" s="30"/>
      <x:c r="M64" s="30"/>
      <x:c r="N64" s="30"/>
      <x:c r="O64" s="30"/>
      <x:c r="P64" s="30"/>
      <x:c r="R64" s="160" t="str">
        <x:f>IF(A64="","",A64)</x:f>
      </x:c>
      <x:c r="S64" s="126" t="str">
        <x:f>IF(B64="","",B64)</x:f>
      </x:c>
      <x:c r="T64" s="36" t="str">
        <x:f>IF(S64="","",IFERROR(INDEX('02_Öğrenciler'!$B$5:$B$203,MATCH(S64,'02_Öğrenciler'!$A$5:$A$203,0)),"KOD HATALI"))</x:f>
      </x:c>
      <x:c r="U64" s="36" t="str">
        <x:f>IF(S64="","",IFERROR(INDEX('02_Öğrenciler'!$C$5:$C$203,MATCH(S64,'02_Öğrenciler'!$A$5:$A$203,0)),""))</x:f>
      </x:c>
      <x:c r="V64" s="132" t="str">
        <x:f>IF(C64="","",C64)</x:f>
      </x:c>
      <x:c r="W64" s="36" t="str">
        <x:f>IF(D64="","",D64)</x:f>
      </x:c>
      <x:c r="X64" s="36" t="str">
        <x:f>IF(E64="","",E64)</x:f>
      </x:c>
      <x:c r="Y64" s="36" t="str">
        <x:f>IF(F64="","",F64)</x:f>
      </x:c>
      <x:c r="Z64" s="36" t="str">
        <x:f>IF(G64="","",G64)</x:f>
      </x:c>
      <x:c r="AA64" s="36" t="str">
        <x:f>IF(OR(Y64="",Z64=""),"",Y64-Z64)</x:f>
      </x:c>
      <x:c r="AB64" s="52" t="str">
        <x:f>IF(OR(Y64="",Z64=""),"",IFERROR(Z64/Y64,0))</x:f>
      </x:c>
      <x:c r="AC64" s="36" t="str">
        <x:f>IF(H64="","",H64)</x:f>
      </x:c>
      <x:c r="AD64" s="132" t="str">
        <x:f>IF(I64="","",I64)</x:f>
      </x:c>
      <x:c r="AE64" s="36" t="str">
        <x:f>IF(J64="","",J64)</x:f>
      </x:c>
      <x:c r="AF64" s="36" t="str">
        <x:f>IF(K64="","",K64)</x:f>
      </x:c>
      <x:c r="AG64" s="36" t="str">
        <x:f>IF(L64="","",L64)</x:f>
      </x:c>
      <x:c r="AH64" s="36" t="str">
        <x:f>IF(M64="","",M64)</x:f>
      </x:c>
      <x:c r="AI64" s="36" t="str">
        <x:f>IF(N64="","",N64)</x:f>
      </x:c>
      <x:c r="AJ64" s="36" t="str">
        <x:f>IF(O64="","",O64)</x:f>
      </x:c>
      <x:c r="AK64" s="36" t="str">
        <x:f>IF(P64="","",P64)</x:f>
      </x:c>
      <x:c r="AL64" s="36" t="str">
        <x:f>IF(R64="","",TEXT(R64,"yyyymmddhhmmss")&amp;"-"&amp;S64&amp;"-"&amp;TEXT(ROW()-4,"0000"))</x:f>
      </x:c>
      <x:c r="AM64" s="36" t="str">
        <x:f>IF(R64="","",IF(T64="KOD HATALI","Öğrenci Kodu Hatalı",IF(OR(V64="",W64="",X64="",Y64="",Z64="",AF64="",AG64="",AJ64="",AK64=""),"Eksik Zorunlu Alan",IF(OR(Y64&lt;0,Z64&lt;0,Z64&gt;Y64),"Soru Sayısı Hatası",IF(AND(AD64&lt;&gt;"",AD64&lt;V64),"Ödev Tarihi Hatası",IF(COUNTIF($AL$5:AL64,AL64)&gt;1,"Mükerrer Form Kaydı","Aktarıma Hazır"))))))</x:f>
      </x:c>
      <x:c r="AN64" s="30"/>
      <x:c r="AO64" s="40"/>
      <x:c r="AP64" s="30"/>
    </x:row>
    <x:row r="65">
      <x:c r="A65" s="158"/>
      <x:c r="B65" s="44"/>
      <x:c r="C65" s="40"/>
      <x:c r="D65" s="30"/>
      <x:c r="E65" s="30"/>
      <x:c r="F65" s="30"/>
      <x:c r="G65" s="30"/>
      <x:c r="H65" s="30"/>
      <x:c r="I65" s="40"/>
      <x:c r="J65" s="30"/>
      <x:c r="K65" s="30"/>
      <x:c r="L65" s="30"/>
      <x:c r="M65" s="30"/>
      <x:c r="N65" s="30"/>
      <x:c r="O65" s="30"/>
      <x:c r="P65" s="30"/>
      <x:c r="R65" s="160" t="str">
        <x:f>IF(A65="","",A65)</x:f>
      </x:c>
      <x:c r="S65" s="126" t="str">
        <x:f>IF(B65="","",B65)</x:f>
      </x:c>
      <x:c r="T65" s="36" t="str">
        <x:f>IF(S65="","",IFERROR(INDEX('02_Öğrenciler'!$B$5:$B$203,MATCH(S65,'02_Öğrenciler'!$A$5:$A$203,0)),"KOD HATALI"))</x:f>
      </x:c>
      <x:c r="U65" s="36" t="str">
        <x:f>IF(S65="","",IFERROR(INDEX('02_Öğrenciler'!$C$5:$C$203,MATCH(S65,'02_Öğrenciler'!$A$5:$A$203,0)),""))</x:f>
      </x:c>
      <x:c r="V65" s="132" t="str">
        <x:f>IF(C65="","",C65)</x:f>
      </x:c>
      <x:c r="W65" s="36" t="str">
        <x:f>IF(D65="","",D65)</x:f>
      </x:c>
      <x:c r="X65" s="36" t="str">
        <x:f>IF(E65="","",E65)</x:f>
      </x:c>
      <x:c r="Y65" s="36" t="str">
        <x:f>IF(F65="","",F65)</x:f>
      </x:c>
      <x:c r="Z65" s="36" t="str">
        <x:f>IF(G65="","",G65)</x:f>
      </x:c>
      <x:c r="AA65" s="36" t="str">
        <x:f>IF(OR(Y65="",Z65=""),"",Y65-Z65)</x:f>
      </x:c>
      <x:c r="AB65" s="52" t="str">
        <x:f>IF(OR(Y65="",Z65=""),"",IFERROR(Z65/Y65,0))</x:f>
      </x:c>
      <x:c r="AC65" s="36" t="str">
        <x:f>IF(H65="","",H65)</x:f>
      </x:c>
      <x:c r="AD65" s="132" t="str">
        <x:f>IF(I65="","",I65)</x:f>
      </x:c>
      <x:c r="AE65" s="36" t="str">
        <x:f>IF(J65="","",J65)</x:f>
      </x:c>
      <x:c r="AF65" s="36" t="str">
        <x:f>IF(K65="","",K65)</x:f>
      </x:c>
      <x:c r="AG65" s="36" t="str">
        <x:f>IF(L65="","",L65)</x:f>
      </x:c>
      <x:c r="AH65" s="36" t="str">
        <x:f>IF(M65="","",M65)</x:f>
      </x:c>
      <x:c r="AI65" s="36" t="str">
        <x:f>IF(N65="","",N65)</x:f>
      </x:c>
      <x:c r="AJ65" s="36" t="str">
        <x:f>IF(O65="","",O65)</x:f>
      </x:c>
      <x:c r="AK65" s="36" t="str">
        <x:f>IF(P65="","",P65)</x:f>
      </x:c>
      <x:c r="AL65" s="36" t="str">
        <x:f>IF(R65="","",TEXT(R65,"yyyymmddhhmmss")&amp;"-"&amp;S65&amp;"-"&amp;TEXT(ROW()-4,"0000"))</x:f>
      </x:c>
      <x:c r="AM65" s="36" t="str">
        <x:f>IF(R65="","",IF(T65="KOD HATALI","Öğrenci Kodu Hatalı",IF(OR(V65="",W65="",X65="",Y65="",Z65="",AF65="",AG65="",AJ65="",AK65=""),"Eksik Zorunlu Alan",IF(OR(Y65&lt;0,Z65&lt;0,Z65&gt;Y65),"Soru Sayısı Hatası",IF(AND(AD65&lt;&gt;"",AD65&lt;V65),"Ödev Tarihi Hatası",IF(COUNTIF($AL$5:AL65,AL65)&gt;1,"Mükerrer Form Kaydı","Aktarıma Hazır"))))))</x:f>
      </x:c>
      <x:c r="AN65" s="30"/>
      <x:c r="AO65" s="40"/>
      <x:c r="AP65" s="30"/>
    </x:row>
    <x:row r="66">
      <x:c r="A66" s="158"/>
      <x:c r="B66" s="44"/>
      <x:c r="C66" s="40"/>
      <x:c r="D66" s="30"/>
      <x:c r="E66" s="30"/>
      <x:c r="F66" s="30"/>
      <x:c r="G66" s="30"/>
      <x:c r="H66" s="30"/>
      <x:c r="I66" s="40"/>
      <x:c r="J66" s="30"/>
      <x:c r="K66" s="30"/>
      <x:c r="L66" s="30"/>
      <x:c r="M66" s="30"/>
      <x:c r="N66" s="30"/>
      <x:c r="O66" s="30"/>
      <x:c r="P66" s="30"/>
      <x:c r="R66" s="160" t="str">
        <x:f>IF(A66="","",A66)</x:f>
      </x:c>
      <x:c r="S66" s="126" t="str">
        <x:f>IF(B66="","",B66)</x:f>
      </x:c>
      <x:c r="T66" s="36" t="str">
        <x:f>IF(S66="","",IFERROR(INDEX('02_Öğrenciler'!$B$5:$B$203,MATCH(S66,'02_Öğrenciler'!$A$5:$A$203,0)),"KOD HATALI"))</x:f>
      </x:c>
      <x:c r="U66" s="36" t="str">
        <x:f>IF(S66="","",IFERROR(INDEX('02_Öğrenciler'!$C$5:$C$203,MATCH(S66,'02_Öğrenciler'!$A$5:$A$203,0)),""))</x:f>
      </x:c>
      <x:c r="V66" s="132" t="str">
        <x:f>IF(C66="","",C66)</x:f>
      </x:c>
      <x:c r="W66" s="36" t="str">
        <x:f>IF(D66="","",D66)</x:f>
      </x:c>
      <x:c r="X66" s="36" t="str">
        <x:f>IF(E66="","",E66)</x:f>
      </x:c>
      <x:c r="Y66" s="36" t="str">
        <x:f>IF(F66="","",F66)</x:f>
      </x:c>
      <x:c r="Z66" s="36" t="str">
        <x:f>IF(G66="","",G66)</x:f>
      </x:c>
      <x:c r="AA66" s="36" t="str">
        <x:f>IF(OR(Y66="",Z66=""),"",Y66-Z66)</x:f>
      </x:c>
      <x:c r="AB66" s="52" t="str">
        <x:f>IF(OR(Y66="",Z66=""),"",IFERROR(Z66/Y66,0))</x:f>
      </x:c>
      <x:c r="AC66" s="36" t="str">
        <x:f>IF(H66="","",H66)</x:f>
      </x:c>
      <x:c r="AD66" s="132" t="str">
        <x:f>IF(I66="","",I66)</x:f>
      </x:c>
      <x:c r="AE66" s="36" t="str">
        <x:f>IF(J66="","",J66)</x:f>
      </x:c>
      <x:c r="AF66" s="36" t="str">
        <x:f>IF(K66="","",K66)</x:f>
      </x:c>
      <x:c r="AG66" s="36" t="str">
        <x:f>IF(L66="","",L66)</x:f>
      </x:c>
      <x:c r="AH66" s="36" t="str">
        <x:f>IF(M66="","",M66)</x:f>
      </x:c>
      <x:c r="AI66" s="36" t="str">
        <x:f>IF(N66="","",N66)</x:f>
      </x:c>
      <x:c r="AJ66" s="36" t="str">
        <x:f>IF(O66="","",O66)</x:f>
      </x:c>
      <x:c r="AK66" s="36" t="str">
        <x:f>IF(P66="","",P66)</x:f>
      </x:c>
      <x:c r="AL66" s="36" t="str">
        <x:f>IF(R66="","",TEXT(R66,"yyyymmddhhmmss")&amp;"-"&amp;S66&amp;"-"&amp;TEXT(ROW()-4,"0000"))</x:f>
      </x:c>
      <x:c r="AM66" s="36" t="str">
        <x:f>IF(R66="","",IF(T66="KOD HATALI","Öğrenci Kodu Hatalı",IF(OR(V66="",W66="",X66="",Y66="",Z66="",AF66="",AG66="",AJ66="",AK66=""),"Eksik Zorunlu Alan",IF(OR(Y66&lt;0,Z66&lt;0,Z66&gt;Y66),"Soru Sayısı Hatası",IF(AND(AD66&lt;&gt;"",AD66&lt;V66),"Ödev Tarihi Hatası",IF(COUNTIF($AL$5:AL66,AL66)&gt;1,"Mükerrer Form Kaydı","Aktarıma Hazır"))))))</x:f>
      </x:c>
      <x:c r="AN66" s="30"/>
      <x:c r="AO66" s="40"/>
      <x:c r="AP66" s="30"/>
    </x:row>
    <x:row r="67">
      <x:c r="A67" s="158"/>
      <x:c r="B67" s="44"/>
      <x:c r="C67" s="40"/>
      <x:c r="D67" s="30"/>
      <x:c r="E67" s="30"/>
      <x:c r="F67" s="30"/>
      <x:c r="G67" s="30"/>
      <x:c r="H67" s="30"/>
      <x:c r="I67" s="40"/>
      <x:c r="J67" s="30"/>
      <x:c r="K67" s="30"/>
      <x:c r="L67" s="30"/>
      <x:c r="M67" s="30"/>
      <x:c r="N67" s="30"/>
      <x:c r="O67" s="30"/>
      <x:c r="P67" s="30"/>
      <x:c r="R67" s="160" t="str">
        <x:f>IF(A67="","",A67)</x:f>
      </x:c>
      <x:c r="S67" s="126" t="str">
        <x:f>IF(B67="","",B67)</x:f>
      </x:c>
      <x:c r="T67" s="36" t="str">
        <x:f>IF(S67="","",IFERROR(INDEX('02_Öğrenciler'!$B$5:$B$203,MATCH(S67,'02_Öğrenciler'!$A$5:$A$203,0)),"KOD HATALI"))</x:f>
      </x:c>
      <x:c r="U67" s="36" t="str">
        <x:f>IF(S67="","",IFERROR(INDEX('02_Öğrenciler'!$C$5:$C$203,MATCH(S67,'02_Öğrenciler'!$A$5:$A$203,0)),""))</x:f>
      </x:c>
      <x:c r="V67" s="132" t="str">
        <x:f>IF(C67="","",C67)</x:f>
      </x:c>
      <x:c r="W67" s="36" t="str">
        <x:f>IF(D67="","",D67)</x:f>
      </x:c>
      <x:c r="X67" s="36" t="str">
        <x:f>IF(E67="","",E67)</x:f>
      </x:c>
      <x:c r="Y67" s="36" t="str">
        <x:f>IF(F67="","",F67)</x:f>
      </x:c>
      <x:c r="Z67" s="36" t="str">
        <x:f>IF(G67="","",G67)</x:f>
      </x:c>
      <x:c r="AA67" s="36" t="str">
        <x:f>IF(OR(Y67="",Z67=""),"",Y67-Z67)</x:f>
      </x:c>
      <x:c r="AB67" s="52" t="str">
        <x:f>IF(OR(Y67="",Z67=""),"",IFERROR(Z67/Y67,0))</x:f>
      </x:c>
      <x:c r="AC67" s="36" t="str">
        <x:f>IF(H67="","",H67)</x:f>
      </x:c>
      <x:c r="AD67" s="132" t="str">
        <x:f>IF(I67="","",I67)</x:f>
      </x:c>
      <x:c r="AE67" s="36" t="str">
        <x:f>IF(J67="","",J67)</x:f>
      </x:c>
      <x:c r="AF67" s="36" t="str">
        <x:f>IF(K67="","",K67)</x:f>
      </x:c>
      <x:c r="AG67" s="36" t="str">
        <x:f>IF(L67="","",L67)</x:f>
      </x:c>
      <x:c r="AH67" s="36" t="str">
        <x:f>IF(M67="","",M67)</x:f>
      </x:c>
      <x:c r="AI67" s="36" t="str">
        <x:f>IF(N67="","",N67)</x:f>
      </x:c>
      <x:c r="AJ67" s="36" t="str">
        <x:f>IF(O67="","",O67)</x:f>
      </x:c>
      <x:c r="AK67" s="36" t="str">
        <x:f>IF(P67="","",P67)</x:f>
      </x:c>
      <x:c r="AL67" s="36" t="str">
        <x:f>IF(R67="","",TEXT(R67,"yyyymmddhhmmss")&amp;"-"&amp;S67&amp;"-"&amp;TEXT(ROW()-4,"0000"))</x:f>
      </x:c>
      <x:c r="AM67" s="36" t="str">
        <x:f>IF(R67="","",IF(T67="KOD HATALI","Öğrenci Kodu Hatalı",IF(OR(V67="",W67="",X67="",Y67="",Z67="",AF67="",AG67="",AJ67="",AK67=""),"Eksik Zorunlu Alan",IF(OR(Y67&lt;0,Z67&lt;0,Z67&gt;Y67),"Soru Sayısı Hatası",IF(AND(AD67&lt;&gt;"",AD67&lt;V67),"Ödev Tarihi Hatası",IF(COUNTIF($AL$5:AL67,AL67)&gt;1,"Mükerrer Form Kaydı","Aktarıma Hazır"))))))</x:f>
      </x:c>
      <x:c r="AN67" s="30"/>
      <x:c r="AO67" s="40"/>
      <x:c r="AP67" s="30"/>
    </x:row>
    <x:row r="68">
      <x:c r="A68" s="158"/>
      <x:c r="B68" s="44"/>
      <x:c r="C68" s="40"/>
      <x:c r="D68" s="30"/>
      <x:c r="E68" s="30"/>
      <x:c r="F68" s="30"/>
      <x:c r="G68" s="30"/>
      <x:c r="H68" s="30"/>
      <x:c r="I68" s="40"/>
      <x:c r="J68" s="30"/>
      <x:c r="K68" s="30"/>
      <x:c r="L68" s="30"/>
      <x:c r="M68" s="30"/>
      <x:c r="N68" s="30"/>
      <x:c r="O68" s="30"/>
      <x:c r="P68" s="30"/>
      <x:c r="R68" s="160" t="str">
        <x:f>IF(A68="","",A68)</x:f>
      </x:c>
      <x:c r="S68" s="126" t="str">
        <x:f>IF(B68="","",B68)</x:f>
      </x:c>
      <x:c r="T68" s="36" t="str">
        <x:f>IF(S68="","",IFERROR(INDEX('02_Öğrenciler'!$B$5:$B$203,MATCH(S68,'02_Öğrenciler'!$A$5:$A$203,0)),"KOD HATALI"))</x:f>
      </x:c>
      <x:c r="U68" s="36" t="str">
        <x:f>IF(S68="","",IFERROR(INDEX('02_Öğrenciler'!$C$5:$C$203,MATCH(S68,'02_Öğrenciler'!$A$5:$A$203,0)),""))</x:f>
      </x:c>
      <x:c r="V68" s="132" t="str">
        <x:f>IF(C68="","",C68)</x:f>
      </x:c>
      <x:c r="W68" s="36" t="str">
        <x:f>IF(D68="","",D68)</x:f>
      </x:c>
      <x:c r="X68" s="36" t="str">
        <x:f>IF(E68="","",E68)</x:f>
      </x:c>
      <x:c r="Y68" s="36" t="str">
        <x:f>IF(F68="","",F68)</x:f>
      </x:c>
      <x:c r="Z68" s="36" t="str">
        <x:f>IF(G68="","",G68)</x:f>
      </x:c>
      <x:c r="AA68" s="36" t="str">
        <x:f>IF(OR(Y68="",Z68=""),"",Y68-Z68)</x:f>
      </x:c>
      <x:c r="AB68" s="52" t="str">
        <x:f>IF(OR(Y68="",Z68=""),"",IFERROR(Z68/Y68,0))</x:f>
      </x:c>
      <x:c r="AC68" s="36" t="str">
        <x:f>IF(H68="","",H68)</x:f>
      </x:c>
      <x:c r="AD68" s="132" t="str">
        <x:f>IF(I68="","",I68)</x:f>
      </x:c>
      <x:c r="AE68" s="36" t="str">
        <x:f>IF(J68="","",J68)</x:f>
      </x:c>
      <x:c r="AF68" s="36" t="str">
        <x:f>IF(K68="","",K68)</x:f>
      </x:c>
      <x:c r="AG68" s="36" t="str">
        <x:f>IF(L68="","",L68)</x:f>
      </x:c>
      <x:c r="AH68" s="36" t="str">
        <x:f>IF(M68="","",M68)</x:f>
      </x:c>
      <x:c r="AI68" s="36" t="str">
        <x:f>IF(N68="","",N68)</x:f>
      </x:c>
      <x:c r="AJ68" s="36" t="str">
        <x:f>IF(O68="","",O68)</x:f>
      </x:c>
      <x:c r="AK68" s="36" t="str">
        <x:f>IF(P68="","",P68)</x:f>
      </x:c>
      <x:c r="AL68" s="36" t="str">
        <x:f>IF(R68="","",TEXT(R68,"yyyymmddhhmmss")&amp;"-"&amp;S68&amp;"-"&amp;TEXT(ROW()-4,"0000"))</x:f>
      </x:c>
      <x:c r="AM68" s="36" t="str">
        <x:f>IF(R68="","",IF(T68="KOD HATALI","Öğrenci Kodu Hatalı",IF(OR(V68="",W68="",X68="",Y68="",Z68="",AF68="",AG68="",AJ68="",AK68=""),"Eksik Zorunlu Alan",IF(OR(Y68&lt;0,Z68&lt;0,Z68&gt;Y68),"Soru Sayısı Hatası",IF(AND(AD68&lt;&gt;"",AD68&lt;V68),"Ödev Tarihi Hatası",IF(COUNTIF($AL$5:AL68,AL68)&gt;1,"Mükerrer Form Kaydı","Aktarıma Hazır"))))))</x:f>
      </x:c>
      <x:c r="AN68" s="30"/>
      <x:c r="AO68" s="40"/>
      <x:c r="AP68" s="30"/>
    </x:row>
    <x:row r="69">
      <x:c r="A69" s="158"/>
      <x:c r="B69" s="44"/>
      <x:c r="C69" s="40"/>
      <x:c r="D69" s="30"/>
      <x:c r="E69" s="30"/>
      <x:c r="F69" s="30"/>
      <x:c r="G69" s="30"/>
      <x:c r="H69" s="30"/>
      <x:c r="I69" s="40"/>
      <x:c r="J69" s="30"/>
      <x:c r="K69" s="30"/>
      <x:c r="L69" s="30"/>
      <x:c r="M69" s="30"/>
      <x:c r="N69" s="30"/>
      <x:c r="O69" s="30"/>
      <x:c r="P69" s="30"/>
      <x:c r="R69" s="160" t="str">
        <x:f>IF(A69="","",A69)</x:f>
      </x:c>
      <x:c r="S69" s="126" t="str">
        <x:f>IF(B69="","",B69)</x:f>
      </x:c>
      <x:c r="T69" s="36" t="str">
        <x:f>IF(S69="","",IFERROR(INDEX('02_Öğrenciler'!$B$5:$B$203,MATCH(S69,'02_Öğrenciler'!$A$5:$A$203,0)),"KOD HATALI"))</x:f>
      </x:c>
      <x:c r="U69" s="36" t="str">
        <x:f>IF(S69="","",IFERROR(INDEX('02_Öğrenciler'!$C$5:$C$203,MATCH(S69,'02_Öğrenciler'!$A$5:$A$203,0)),""))</x:f>
      </x:c>
      <x:c r="V69" s="132" t="str">
        <x:f>IF(C69="","",C69)</x:f>
      </x:c>
      <x:c r="W69" s="36" t="str">
        <x:f>IF(D69="","",D69)</x:f>
      </x:c>
      <x:c r="X69" s="36" t="str">
        <x:f>IF(E69="","",E69)</x:f>
      </x:c>
      <x:c r="Y69" s="36" t="str">
        <x:f>IF(F69="","",F69)</x:f>
      </x:c>
      <x:c r="Z69" s="36" t="str">
        <x:f>IF(G69="","",G69)</x:f>
      </x:c>
      <x:c r="AA69" s="36" t="str">
        <x:f>IF(OR(Y69="",Z69=""),"",Y69-Z69)</x:f>
      </x:c>
      <x:c r="AB69" s="52" t="str">
        <x:f>IF(OR(Y69="",Z69=""),"",IFERROR(Z69/Y69,0))</x:f>
      </x:c>
      <x:c r="AC69" s="36" t="str">
        <x:f>IF(H69="","",H69)</x:f>
      </x:c>
      <x:c r="AD69" s="132" t="str">
        <x:f>IF(I69="","",I69)</x:f>
      </x:c>
      <x:c r="AE69" s="36" t="str">
        <x:f>IF(J69="","",J69)</x:f>
      </x:c>
      <x:c r="AF69" s="36" t="str">
        <x:f>IF(K69="","",K69)</x:f>
      </x:c>
      <x:c r="AG69" s="36" t="str">
        <x:f>IF(L69="","",L69)</x:f>
      </x:c>
      <x:c r="AH69" s="36" t="str">
        <x:f>IF(M69="","",M69)</x:f>
      </x:c>
      <x:c r="AI69" s="36" t="str">
        <x:f>IF(N69="","",N69)</x:f>
      </x:c>
      <x:c r="AJ69" s="36" t="str">
        <x:f>IF(O69="","",O69)</x:f>
      </x:c>
      <x:c r="AK69" s="36" t="str">
        <x:f>IF(P69="","",P69)</x:f>
      </x:c>
      <x:c r="AL69" s="36" t="str">
        <x:f>IF(R69="","",TEXT(R69,"yyyymmddhhmmss")&amp;"-"&amp;S69&amp;"-"&amp;TEXT(ROW()-4,"0000"))</x:f>
      </x:c>
      <x:c r="AM69" s="36" t="str">
        <x:f>IF(R69="","",IF(T69="KOD HATALI","Öğrenci Kodu Hatalı",IF(OR(V69="",W69="",X69="",Y69="",Z69="",AF69="",AG69="",AJ69="",AK69=""),"Eksik Zorunlu Alan",IF(OR(Y69&lt;0,Z69&lt;0,Z69&gt;Y69),"Soru Sayısı Hatası",IF(AND(AD69&lt;&gt;"",AD69&lt;V69),"Ödev Tarihi Hatası",IF(COUNTIF($AL$5:AL69,AL69)&gt;1,"Mükerrer Form Kaydı","Aktarıma Hazır"))))))</x:f>
      </x:c>
      <x:c r="AN69" s="30"/>
      <x:c r="AO69" s="40"/>
      <x:c r="AP69" s="30"/>
    </x:row>
    <x:row r="70">
      <x:c r="A70" s="158"/>
      <x:c r="B70" s="44"/>
      <x:c r="C70" s="40"/>
      <x:c r="D70" s="30"/>
      <x:c r="E70" s="30"/>
      <x:c r="F70" s="30"/>
      <x:c r="G70" s="30"/>
      <x:c r="H70" s="30"/>
      <x:c r="I70" s="40"/>
      <x:c r="J70" s="30"/>
      <x:c r="K70" s="30"/>
      <x:c r="L70" s="30"/>
      <x:c r="M70" s="30"/>
      <x:c r="N70" s="30"/>
      <x:c r="O70" s="30"/>
      <x:c r="P70" s="30"/>
      <x:c r="R70" s="160" t="str">
        <x:f>IF(A70="","",A70)</x:f>
      </x:c>
      <x:c r="S70" s="126" t="str">
        <x:f>IF(B70="","",B70)</x:f>
      </x:c>
      <x:c r="T70" s="36" t="str">
        <x:f>IF(S70="","",IFERROR(INDEX('02_Öğrenciler'!$B$5:$B$203,MATCH(S70,'02_Öğrenciler'!$A$5:$A$203,0)),"KOD HATALI"))</x:f>
      </x:c>
      <x:c r="U70" s="36" t="str">
        <x:f>IF(S70="","",IFERROR(INDEX('02_Öğrenciler'!$C$5:$C$203,MATCH(S70,'02_Öğrenciler'!$A$5:$A$203,0)),""))</x:f>
      </x:c>
      <x:c r="V70" s="132" t="str">
        <x:f>IF(C70="","",C70)</x:f>
      </x:c>
      <x:c r="W70" s="36" t="str">
        <x:f>IF(D70="","",D70)</x:f>
      </x:c>
      <x:c r="X70" s="36" t="str">
        <x:f>IF(E70="","",E70)</x:f>
      </x:c>
      <x:c r="Y70" s="36" t="str">
        <x:f>IF(F70="","",F70)</x:f>
      </x:c>
      <x:c r="Z70" s="36" t="str">
        <x:f>IF(G70="","",G70)</x:f>
      </x:c>
      <x:c r="AA70" s="36" t="str">
        <x:f>IF(OR(Y70="",Z70=""),"",Y70-Z70)</x:f>
      </x:c>
      <x:c r="AB70" s="52" t="str">
        <x:f>IF(OR(Y70="",Z70=""),"",IFERROR(Z70/Y70,0))</x:f>
      </x:c>
      <x:c r="AC70" s="36" t="str">
        <x:f>IF(H70="","",H70)</x:f>
      </x:c>
      <x:c r="AD70" s="132" t="str">
        <x:f>IF(I70="","",I70)</x:f>
      </x:c>
      <x:c r="AE70" s="36" t="str">
        <x:f>IF(J70="","",J70)</x:f>
      </x:c>
      <x:c r="AF70" s="36" t="str">
        <x:f>IF(K70="","",K70)</x:f>
      </x:c>
      <x:c r="AG70" s="36" t="str">
        <x:f>IF(L70="","",L70)</x:f>
      </x:c>
      <x:c r="AH70" s="36" t="str">
        <x:f>IF(M70="","",M70)</x:f>
      </x:c>
      <x:c r="AI70" s="36" t="str">
        <x:f>IF(N70="","",N70)</x:f>
      </x:c>
      <x:c r="AJ70" s="36" t="str">
        <x:f>IF(O70="","",O70)</x:f>
      </x:c>
      <x:c r="AK70" s="36" t="str">
        <x:f>IF(P70="","",P70)</x:f>
      </x:c>
      <x:c r="AL70" s="36" t="str">
        <x:f>IF(R70="","",TEXT(R70,"yyyymmddhhmmss")&amp;"-"&amp;S70&amp;"-"&amp;TEXT(ROW()-4,"0000"))</x:f>
      </x:c>
      <x:c r="AM70" s="36" t="str">
        <x:f>IF(R70="","",IF(T70="KOD HATALI","Öğrenci Kodu Hatalı",IF(OR(V70="",W70="",X70="",Y70="",Z70="",AF70="",AG70="",AJ70="",AK70=""),"Eksik Zorunlu Alan",IF(OR(Y70&lt;0,Z70&lt;0,Z70&gt;Y70),"Soru Sayısı Hatası",IF(AND(AD70&lt;&gt;"",AD70&lt;V70),"Ödev Tarihi Hatası",IF(COUNTIF($AL$5:AL70,AL70)&gt;1,"Mükerrer Form Kaydı","Aktarıma Hazır"))))))</x:f>
      </x:c>
      <x:c r="AN70" s="30"/>
      <x:c r="AO70" s="40"/>
      <x:c r="AP70" s="30"/>
    </x:row>
    <x:row r="71">
      <x:c r="A71" s="158"/>
      <x:c r="B71" s="44"/>
      <x:c r="C71" s="40"/>
      <x:c r="D71" s="30"/>
      <x:c r="E71" s="30"/>
      <x:c r="F71" s="30"/>
      <x:c r="G71" s="30"/>
      <x:c r="H71" s="30"/>
      <x:c r="I71" s="40"/>
      <x:c r="J71" s="30"/>
      <x:c r="K71" s="30"/>
      <x:c r="L71" s="30"/>
      <x:c r="M71" s="30"/>
      <x:c r="N71" s="30"/>
      <x:c r="O71" s="30"/>
      <x:c r="P71" s="30"/>
      <x:c r="R71" s="160" t="str">
        <x:f>IF(A71="","",A71)</x:f>
      </x:c>
      <x:c r="S71" s="126" t="str">
        <x:f>IF(B71="","",B71)</x:f>
      </x:c>
      <x:c r="T71" s="36" t="str">
        <x:f>IF(S71="","",IFERROR(INDEX('02_Öğrenciler'!$B$5:$B$203,MATCH(S71,'02_Öğrenciler'!$A$5:$A$203,0)),"KOD HATALI"))</x:f>
      </x:c>
      <x:c r="U71" s="36" t="str">
        <x:f>IF(S71="","",IFERROR(INDEX('02_Öğrenciler'!$C$5:$C$203,MATCH(S71,'02_Öğrenciler'!$A$5:$A$203,0)),""))</x:f>
      </x:c>
      <x:c r="V71" s="132" t="str">
        <x:f>IF(C71="","",C71)</x:f>
      </x:c>
      <x:c r="W71" s="36" t="str">
        <x:f>IF(D71="","",D71)</x:f>
      </x:c>
      <x:c r="X71" s="36" t="str">
        <x:f>IF(E71="","",E71)</x:f>
      </x:c>
      <x:c r="Y71" s="36" t="str">
        <x:f>IF(F71="","",F71)</x:f>
      </x:c>
      <x:c r="Z71" s="36" t="str">
        <x:f>IF(G71="","",G71)</x:f>
      </x:c>
      <x:c r="AA71" s="36" t="str">
        <x:f>IF(OR(Y71="",Z71=""),"",Y71-Z71)</x:f>
      </x:c>
      <x:c r="AB71" s="52" t="str">
        <x:f>IF(OR(Y71="",Z71=""),"",IFERROR(Z71/Y71,0))</x:f>
      </x:c>
      <x:c r="AC71" s="36" t="str">
        <x:f>IF(H71="","",H71)</x:f>
      </x:c>
      <x:c r="AD71" s="132" t="str">
        <x:f>IF(I71="","",I71)</x:f>
      </x:c>
      <x:c r="AE71" s="36" t="str">
        <x:f>IF(J71="","",J71)</x:f>
      </x:c>
      <x:c r="AF71" s="36" t="str">
        <x:f>IF(K71="","",K71)</x:f>
      </x:c>
      <x:c r="AG71" s="36" t="str">
        <x:f>IF(L71="","",L71)</x:f>
      </x:c>
      <x:c r="AH71" s="36" t="str">
        <x:f>IF(M71="","",M71)</x:f>
      </x:c>
      <x:c r="AI71" s="36" t="str">
        <x:f>IF(N71="","",N71)</x:f>
      </x:c>
      <x:c r="AJ71" s="36" t="str">
        <x:f>IF(O71="","",O71)</x:f>
      </x:c>
      <x:c r="AK71" s="36" t="str">
        <x:f>IF(P71="","",P71)</x:f>
      </x:c>
      <x:c r="AL71" s="36" t="str">
        <x:f>IF(R71="","",TEXT(R71,"yyyymmddhhmmss")&amp;"-"&amp;S71&amp;"-"&amp;TEXT(ROW()-4,"0000"))</x:f>
      </x:c>
      <x:c r="AM71" s="36" t="str">
        <x:f>IF(R71="","",IF(T71="KOD HATALI","Öğrenci Kodu Hatalı",IF(OR(V71="",W71="",X71="",Y71="",Z71="",AF71="",AG71="",AJ71="",AK71=""),"Eksik Zorunlu Alan",IF(OR(Y71&lt;0,Z71&lt;0,Z71&gt;Y71),"Soru Sayısı Hatası",IF(AND(AD71&lt;&gt;"",AD71&lt;V71),"Ödev Tarihi Hatası",IF(COUNTIF($AL$5:AL71,AL71)&gt;1,"Mükerrer Form Kaydı","Aktarıma Hazır"))))))</x:f>
      </x:c>
      <x:c r="AN71" s="30"/>
      <x:c r="AO71" s="40"/>
      <x:c r="AP71" s="30"/>
    </x:row>
    <x:row r="72">
      <x:c r="A72" s="158"/>
      <x:c r="B72" s="44"/>
      <x:c r="C72" s="40"/>
      <x:c r="D72" s="30"/>
      <x:c r="E72" s="30"/>
      <x:c r="F72" s="30"/>
      <x:c r="G72" s="30"/>
      <x:c r="H72" s="30"/>
      <x:c r="I72" s="40"/>
      <x:c r="J72" s="30"/>
      <x:c r="K72" s="30"/>
      <x:c r="L72" s="30"/>
      <x:c r="M72" s="30"/>
      <x:c r="N72" s="30"/>
      <x:c r="O72" s="30"/>
      <x:c r="P72" s="30"/>
      <x:c r="R72" s="160" t="str">
        <x:f>IF(A72="","",A72)</x:f>
      </x:c>
      <x:c r="S72" s="126" t="str">
        <x:f>IF(B72="","",B72)</x:f>
      </x:c>
      <x:c r="T72" s="36" t="str">
        <x:f>IF(S72="","",IFERROR(INDEX('02_Öğrenciler'!$B$5:$B$203,MATCH(S72,'02_Öğrenciler'!$A$5:$A$203,0)),"KOD HATALI"))</x:f>
      </x:c>
      <x:c r="U72" s="36" t="str">
        <x:f>IF(S72="","",IFERROR(INDEX('02_Öğrenciler'!$C$5:$C$203,MATCH(S72,'02_Öğrenciler'!$A$5:$A$203,0)),""))</x:f>
      </x:c>
      <x:c r="V72" s="132" t="str">
        <x:f>IF(C72="","",C72)</x:f>
      </x:c>
      <x:c r="W72" s="36" t="str">
        <x:f>IF(D72="","",D72)</x:f>
      </x:c>
      <x:c r="X72" s="36" t="str">
        <x:f>IF(E72="","",E72)</x:f>
      </x:c>
      <x:c r="Y72" s="36" t="str">
        <x:f>IF(F72="","",F72)</x:f>
      </x:c>
      <x:c r="Z72" s="36" t="str">
        <x:f>IF(G72="","",G72)</x:f>
      </x:c>
      <x:c r="AA72" s="36" t="str">
        <x:f>IF(OR(Y72="",Z72=""),"",Y72-Z72)</x:f>
      </x:c>
      <x:c r="AB72" s="52" t="str">
        <x:f>IF(OR(Y72="",Z72=""),"",IFERROR(Z72/Y72,0))</x:f>
      </x:c>
      <x:c r="AC72" s="36" t="str">
        <x:f>IF(H72="","",H72)</x:f>
      </x:c>
      <x:c r="AD72" s="132" t="str">
        <x:f>IF(I72="","",I72)</x:f>
      </x:c>
      <x:c r="AE72" s="36" t="str">
        <x:f>IF(J72="","",J72)</x:f>
      </x:c>
      <x:c r="AF72" s="36" t="str">
        <x:f>IF(K72="","",K72)</x:f>
      </x:c>
      <x:c r="AG72" s="36" t="str">
        <x:f>IF(L72="","",L72)</x:f>
      </x:c>
      <x:c r="AH72" s="36" t="str">
        <x:f>IF(M72="","",M72)</x:f>
      </x:c>
      <x:c r="AI72" s="36" t="str">
        <x:f>IF(N72="","",N72)</x:f>
      </x:c>
      <x:c r="AJ72" s="36" t="str">
        <x:f>IF(O72="","",O72)</x:f>
      </x:c>
      <x:c r="AK72" s="36" t="str">
        <x:f>IF(P72="","",P72)</x:f>
      </x:c>
      <x:c r="AL72" s="36" t="str">
        <x:f>IF(R72="","",TEXT(R72,"yyyymmddhhmmss")&amp;"-"&amp;S72&amp;"-"&amp;TEXT(ROW()-4,"0000"))</x:f>
      </x:c>
      <x:c r="AM72" s="36" t="str">
        <x:f>IF(R72="","",IF(T72="KOD HATALI","Öğrenci Kodu Hatalı",IF(OR(V72="",W72="",X72="",Y72="",Z72="",AF72="",AG72="",AJ72="",AK72=""),"Eksik Zorunlu Alan",IF(OR(Y72&lt;0,Z72&lt;0,Z72&gt;Y72),"Soru Sayısı Hatası",IF(AND(AD72&lt;&gt;"",AD72&lt;V72),"Ödev Tarihi Hatası",IF(COUNTIF($AL$5:AL72,AL72)&gt;1,"Mükerrer Form Kaydı","Aktarıma Hazır"))))))</x:f>
      </x:c>
      <x:c r="AN72" s="30"/>
      <x:c r="AO72" s="40"/>
      <x:c r="AP72" s="30"/>
    </x:row>
    <x:row r="73">
      <x:c r="A73" s="158"/>
      <x:c r="B73" s="44"/>
      <x:c r="C73" s="40"/>
      <x:c r="D73" s="30"/>
      <x:c r="E73" s="30"/>
      <x:c r="F73" s="30"/>
      <x:c r="G73" s="30"/>
      <x:c r="H73" s="30"/>
      <x:c r="I73" s="40"/>
      <x:c r="J73" s="30"/>
      <x:c r="K73" s="30"/>
      <x:c r="L73" s="30"/>
      <x:c r="M73" s="30"/>
      <x:c r="N73" s="30"/>
      <x:c r="O73" s="30"/>
      <x:c r="P73" s="30"/>
      <x:c r="R73" s="160" t="str">
        <x:f>IF(A73="","",A73)</x:f>
      </x:c>
      <x:c r="S73" s="126" t="str">
        <x:f>IF(B73="","",B73)</x:f>
      </x:c>
      <x:c r="T73" s="36" t="str">
        <x:f>IF(S73="","",IFERROR(INDEX('02_Öğrenciler'!$B$5:$B$203,MATCH(S73,'02_Öğrenciler'!$A$5:$A$203,0)),"KOD HATALI"))</x:f>
      </x:c>
      <x:c r="U73" s="36" t="str">
        <x:f>IF(S73="","",IFERROR(INDEX('02_Öğrenciler'!$C$5:$C$203,MATCH(S73,'02_Öğrenciler'!$A$5:$A$203,0)),""))</x:f>
      </x:c>
      <x:c r="V73" s="132" t="str">
        <x:f>IF(C73="","",C73)</x:f>
      </x:c>
      <x:c r="W73" s="36" t="str">
        <x:f>IF(D73="","",D73)</x:f>
      </x:c>
      <x:c r="X73" s="36" t="str">
        <x:f>IF(E73="","",E73)</x:f>
      </x:c>
      <x:c r="Y73" s="36" t="str">
        <x:f>IF(F73="","",F73)</x:f>
      </x:c>
      <x:c r="Z73" s="36" t="str">
        <x:f>IF(G73="","",G73)</x:f>
      </x:c>
      <x:c r="AA73" s="36" t="str">
        <x:f>IF(OR(Y73="",Z73=""),"",Y73-Z73)</x:f>
      </x:c>
      <x:c r="AB73" s="52" t="str">
        <x:f>IF(OR(Y73="",Z73=""),"",IFERROR(Z73/Y73,0))</x:f>
      </x:c>
      <x:c r="AC73" s="36" t="str">
        <x:f>IF(H73="","",H73)</x:f>
      </x:c>
      <x:c r="AD73" s="132" t="str">
        <x:f>IF(I73="","",I73)</x:f>
      </x:c>
      <x:c r="AE73" s="36" t="str">
        <x:f>IF(J73="","",J73)</x:f>
      </x:c>
      <x:c r="AF73" s="36" t="str">
        <x:f>IF(K73="","",K73)</x:f>
      </x:c>
      <x:c r="AG73" s="36" t="str">
        <x:f>IF(L73="","",L73)</x:f>
      </x:c>
      <x:c r="AH73" s="36" t="str">
        <x:f>IF(M73="","",M73)</x:f>
      </x:c>
      <x:c r="AI73" s="36" t="str">
        <x:f>IF(N73="","",N73)</x:f>
      </x:c>
      <x:c r="AJ73" s="36" t="str">
        <x:f>IF(O73="","",O73)</x:f>
      </x:c>
      <x:c r="AK73" s="36" t="str">
        <x:f>IF(P73="","",P73)</x:f>
      </x:c>
      <x:c r="AL73" s="36" t="str">
        <x:f>IF(R73="","",TEXT(R73,"yyyymmddhhmmss")&amp;"-"&amp;S73&amp;"-"&amp;TEXT(ROW()-4,"0000"))</x:f>
      </x:c>
      <x:c r="AM73" s="36" t="str">
        <x:f>IF(R73="","",IF(T73="KOD HATALI","Öğrenci Kodu Hatalı",IF(OR(V73="",W73="",X73="",Y73="",Z73="",AF73="",AG73="",AJ73="",AK73=""),"Eksik Zorunlu Alan",IF(OR(Y73&lt;0,Z73&lt;0,Z73&gt;Y73),"Soru Sayısı Hatası",IF(AND(AD73&lt;&gt;"",AD73&lt;V73),"Ödev Tarihi Hatası",IF(COUNTIF($AL$5:AL73,AL73)&gt;1,"Mükerrer Form Kaydı","Aktarıma Hazır"))))))</x:f>
      </x:c>
      <x:c r="AN73" s="30"/>
      <x:c r="AO73" s="40"/>
      <x:c r="AP73" s="30"/>
    </x:row>
    <x:row r="74">
      <x:c r="A74" s="158"/>
      <x:c r="B74" s="44"/>
      <x:c r="C74" s="40"/>
      <x:c r="D74" s="30"/>
      <x:c r="E74" s="30"/>
      <x:c r="F74" s="30"/>
      <x:c r="G74" s="30"/>
      <x:c r="H74" s="30"/>
      <x:c r="I74" s="40"/>
      <x:c r="J74" s="30"/>
      <x:c r="K74" s="30"/>
      <x:c r="L74" s="30"/>
      <x:c r="M74" s="30"/>
      <x:c r="N74" s="30"/>
      <x:c r="O74" s="30"/>
      <x:c r="P74" s="30"/>
      <x:c r="R74" s="160" t="str">
        <x:f>IF(A74="","",A74)</x:f>
      </x:c>
      <x:c r="S74" s="126" t="str">
        <x:f>IF(B74="","",B74)</x:f>
      </x:c>
      <x:c r="T74" s="36" t="str">
        <x:f>IF(S74="","",IFERROR(INDEX('02_Öğrenciler'!$B$5:$B$203,MATCH(S74,'02_Öğrenciler'!$A$5:$A$203,0)),"KOD HATALI"))</x:f>
      </x:c>
      <x:c r="U74" s="36" t="str">
        <x:f>IF(S74="","",IFERROR(INDEX('02_Öğrenciler'!$C$5:$C$203,MATCH(S74,'02_Öğrenciler'!$A$5:$A$203,0)),""))</x:f>
      </x:c>
      <x:c r="V74" s="132" t="str">
        <x:f>IF(C74="","",C74)</x:f>
      </x:c>
      <x:c r="W74" s="36" t="str">
        <x:f>IF(D74="","",D74)</x:f>
      </x:c>
      <x:c r="X74" s="36" t="str">
        <x:f>IF(E74="","",E74)</x:f>
      </x:c>
      <x:c r="Y74" s="36" t="str">
        <x:f>IF(F74="","",F74)</x:f>
      </x:c>
      <x:c r="Z74" s="36" t="str">
        <x:f>IF(G74="","",G74)</x:f>
      </x:c>
      <x:c r="AA74" s="36" t="str">
        <x:f>IF(OR(Y74="",Z74=""),"",Y74-Z74)</x:f>
      </x:c>
      <x:c r="AB74" s="52" t="str">
        <x:f>IF(OR(Y74="",Z74=""),"",IFERROR(Z74/Y74,0))</x:f>
      </x:c>
      <x:c r="AC74" s="36" t="str">
        <x:f>IF(H74="","",H74)</x:f>
      </x:c>
      <x:c r="AD74" s="132" t="str">
        <x:f>IF(I74="","",I74)</x:f>
      </x:c>
      <x:c r="AE74" s="36" t="str">
        <x:f>IF(J74="","",J74)</x:f>
      </x:c>
      <x:c r="AF74" s="36" t="str">
        <x:f>IF(K74="","",K74)</x:f>
      </x:c>
      <x:c r="AG74" s="36" t="str">
        <x:f>IF(L74="","",L74)</x:f>
      </x:c>
      <x:c r="AH74" s="36" t="str">
        <x:f>IF(M74="","",M74)</x:f>
      </x:c>
      <x:c r="AI74" s="36" t="str">
        <x:f>IF(N74="","",N74)</x:f>
      </x:c>
      <x:c r="AJ74" s="36" t="str">
        <x:f>IF(O74="","",O74)</x:f>
      </x:c>
      <x:c r="AK74" s="36" t="str">
        <x:f>IF(P74="","",P74)</x:f>
      </x:c>
      <x:c r="AL74" s="36" t="str">
        <x:f>IF(R74="","",TEXT(R74,"yyyymmddhhmmss")&amp;"-"&amp;S74&amp;"-"&amp;TEXT(ROW()-4,"0000"))</x:f>
      </x:c>
      <x:c r="AM74" s="36" t="str">
        <x:f>IF(R74="","",IF(T74="KOD HATALI","Öğrenci Kodu Hatalı",IF(OR(V74="",W74="",X74="",Y74="",Z74="",AF74="",AG74="",AJ74="",AK74=""),"Eksik Zorunlu Alan",IF(OR(Y74&lt;0,Z74&lt;0,Z74&gt;Y74),"Soru Sayısı Hatası",IF(AND(AD74&lt;&gt;"",AD74&lt;V74),"Ödev Tarihi Hatası",IF(COUNTIF($AL$5:AL74,AL74)&gt;1,"Mükerrer Form Kaydı","Aktarıma Hazır"))))))</x:f>
      </x:c>
      <x:c r="AN74" s="30"/>
      <x:c r="AO74" s="40"/>
      <x:c r="AP74" s="30"/>
    </x:row>
    <x:row r="75">
      <x:c r="A75" s="158"/>
      <x:c r="B75" s="44"/>
      <x:c r="C75" s="40"/>
      <x:c r="D75" s="30"/>
      <x:c r="E75" s="30"/>
      <x:c r="F75" s="30"/>
      <x:c r="G75" s="30"/>
      <x:c r="H75" s="30"/>
      <x:c r="I75" s="40"/>
      <x:c r="J75" s="30"/>
      <x:c r="K75" s="30"/>
      <x:c r="L75" s="30"/>
      <x:c r="M75" s="30"/>
      <x:c r="N75" s="30"/>
      <x:c r="O75" s="30"/>
      <x:c r="P75" s="30"/>
      <x:c r="R75" s="160" t="str">
        <x:f>IF(A75="","",A75)</x:f>
      </x:c>
      <x:c r="S75" s="126" t="str">
        <x:f>IF(B75="","",B75)</x:f>
      </x:c>
      <x:c r="T75" s="36" t="str">
        <x:f>IF(S75="","",IFERROR(INDEX('02_Öğrenciler'!$B$5:$B$203,MATCH(S75,'02_Öğrenciler'!$A$5:$A$203,0)),"KOD HATALI"))</x:f>
      </x:c>
      <x:c r="U75" s="36" t="str">
        <x:f>IF(S75="","",IFERROR(INDEX('02_Öğrenciler'!$C$5:$C$203,MATCH(S75,'02_Öğrenciler'!$A$5:$A$203,0)),""))</x:f>
      </x:c>
      <x:c r="V75" s="132" t="str">
        <x:f>IF(C75="","",C75)</x:f>
      </x:c>
      <x:c r="W75" s="36" t="str">
        <x:f>IF(D75="","",D75)</x:f>
      </x:c>
      <x:c r="X75" s="36" t="str">
        <x:f>IF(E75="","",E75)</x:f>
      </x:c>
      <x:c r="Y75" s="36" t="str">
        <x:f>IF(F75="","",F75)</x:f>
      </x:c>
      <x:c r="Z75" s="36" t="str">
        <x:f>IF(G75="","",G75)</x:f>
      </x:c>
      <x:c r="AA75" s="36" t="str">
        <x:f>IF(OR(Y75="",Z75=""),"",Y75-Z75)</x:f>
      </x:c>
      <x:c r="AB75" s="52" t="str">
        <x:f>IF(OR(Y75="",Z75=""),"",IFERROR(Z75/Y75,0))</x:f>
      </x:c>
      <x:c r="AC75" s="36" t="str">
        <x:f>IF(H75="","",H75)</x:f>
      </x:c>
      <x:c r="AD75" s="132" t="str">
        <x:f>IF(I75="","",I75)</x:f>
      </x:c>
      <x:c r="AE75" s="36" t="str">
        <x:f>IF(J75="","",J75)</x:f>
      </x:c>
      <x:c r="AF75" s="36" t="str">
        <x:f>IF(K75="","",K75)</x:f>
      </x:c>
      <x:c r="AG75" s="36" t="str">
        <x:f>IF(L75="","",L75)</x:f>
      </x:c>
      <x:c r="AH75" s="36" t="str">
        <x:f>IF(M75="","",M75)</x:f>
      </x:c>
      <x:c r="AI75" s="36" t="str">
        <x:f>IF(N75="","",N75)</x:f>
      </x:c>
      <x:c r="AJ75" s="36" t="str">
        <x:f>IF(O75="","",O75)</x:f>
      </x:c>
      <x:c r="AK75" s="36" t="str">
        <x:f>IF(P75="","",P75)</x:f>
      </x:c>
      <x:c r="AL75" s="36" t="str">
        <x:f>IF(R75="","",TEXT(R75,"yyyymmddhhmmss")&amp;"-"&amp;S75&amp;"-"&amp;TEXT(ROW()-4,"0000"))</x:f>
      </x:c>
      <x:c r="AM75" s="36" t="str">
        <x:f>IF(R75="","",IF(T75="KOD HATALI","Öğrenci Kodu Hatalı",IF(OR(V75="",W75="",X75="",Y75="",Z75="",AF75="",AG75="",AJ75="",AK75=""),"Eksik Zorunlu Alan",IF(OR(Y75&lt;0,Z75&lt;0,Z75&gt;Y75),"Soru Sayısı Hatası",IF(AND(AD75&lt;&gt;"",AD75&lt;V75),"Ödev Tarihi Hatası",IF(COUNTIF($AL$5:AL75,AL75)&gt;1,"Mükerrer Form Kaydı","Aktarıma Hazır"))))))</x:f>
      </x:c>
      <x:c r="AN75" s="30"/>
      <x:c r="AO75" s="40"/>
      <x:c r="AP75" s="30"/>
    </x:row>
    <x:row r="76">
      <x:c r="A76" s="158"/>
      <x:c r="B76" s="44"/>
      <x:c r="C76" s="40"/>
      <x:c r="D76" s="30"/>
      <x:c r="E76" s="30"/>
      <x:c r="F76" s="30"/>
      <x:c r="G76" s="30"/>
      <x:c r="H76" s="30"/>
      <x:c r="I76" s="40"/>
      <x:c r="J76" s="30"/>
      <x:c r="K76" s="30"/>
      <x:c r="L76" s="30"/>
      <x:c r="M76" s="30"/>
      <x:c r="N76" s="30"/>
      <x:c r="O76" s="30"/>
      <x:c r="P76" s="30"/>
      <x:c r="R76" s="160" t="str">
        <x:f>IF(A76="","",A76)</x:f>
      </x:c>
      <x:c r="S76" s="126" t="str">
        <x:f>IF(B76="","",B76)</x:f>
      </x:c>
      <x:c r="T76" s="36" t="str">
        <x:f>IF(S76="","",IFERROR(INDEX('02_Öğrenciler'!$B$5:$B$203,MATCH(S76,'02_Öğrenciler'!$A$5:$A$203,0)),"KOD HATALI"))</x:f>
      </x:c>
      <x:c r="U76" s="36" t="str">
        <x:f>IF(S76="","",IFERROR(INDEX('02_Öğrenciler'!$C$5:$C$203,MATCH(S76,'02_Öğrenciler'!$A$5:$A$203,0)),""))</x:f>
      </x:c>
      <x:c r="V76" s="132" t="str">
        <x:f>IF(C76="","",C76)</x:f>
      </x:c>
      <x:c r="W76" s="36" t="str">
        <x:f>IF(D76="","",D76)</x:f>
      </x:c>
      <x:c r="X76" s="36" t="str">
        <x:f>IF(E76="","",E76)</x:f>
      </x:c>
      <x:c r="Y76" s="36" t="str">
        <x:f>IF(F76="","",F76)</x:f>
      </x:c>
      <x:c r="Z76" s="36" t="str">
        <x:f>IF(G76="","",G76)</x:f>
      </x:c>
      <x:c r="AA76" s="36" t="str">
        <x:f>IF(OR(Y76="",Z76=""),"",Y76-Z76)</x:f>
      </x:c>
      <x:c r="AB76" s="52" t="str">
        <x:f>IF(OR(Y76="",Z76=""),"",IFERROR(Z76/Y76,0))</x:f>
      </x:c>
      <x:c r="AC76" s="36" t="str">
        <x:f>IF(H76="","",H76)</x:f>
      </x:c>
      <x:c r="AD76" s="132" t="str">
        <x:f>IF(I76="","",I76)</x:f>
      </x:c>
      <x:c r="AE76" s="36" t="str">
        <x:f>IF(J76="","",J76)</x:f>
      </x:c>
      <x:c r="AF76" s="36" t="str">
        <x:f>IF(K76="","",K76)</x:f>
      </x:c>
      <x:c r="AG76" s="36" t="str">
        <x:f>IF(L76="","",L76)</x:f>
      </x:c>
      <x:c r="AH76" s="36" t="str">
        <x:f>IF(M76="","",M76)</x:f>
      </x:c>
      <x:c r="AI76" s="36" t="str">
        <x:f>IF(N76="","",N76)</x:f>
      </x:c>
      <x:c r="AJ76" s="36" t="str">
        <x:f>IF(O76="","",O76)</x:f>
      </x:c>
      <x:c r="AK76" s="36" t="str">
        <x:f>IF(P76="","",P76)</x:f>
      </x:c>
      <x:c r="AL76" s="36" t="str">
        <x:f>IF(R76="","",TEXT(R76,"yyyymmddhhmmss")&amp;"-"&amp;S76&amp;"-"&amp;TEXT(ROW()-4,"0000"))</x:f>
      </x:c>
      <x:c r="AM76" s="36" t="str">
        <x:f>IF(R76="","",IF(T76="KOD HATALI","Öğrenci Kodu Hatalı",IF(OR(V76="",W76="",X76="",Y76="",Z76="",AF76="",AG76="",AJ76="",AK76=""),"Eksik Zorunlu Alan",IF(OR(Y76&lt;0,Z76&lt;0,Z76&gt;Y76),"Soru Sayısı Hatası",IF(AND(AD76&lt;&gt;"",AD76&lt;V76),"Ödev Tarihi Hatası",IF(COUNTIF($AL$5:AL76,AL76)&gt;1,"Mükerrer Form Kaydı","Aktarıma Hazır"))))))</x:f>
      </x:c>
      <x:c r="AN76" s="30"/>
      <x:c r="AO76" s="40"/>
      <x:c r="AP76" s="30"/>
    </x:row>
    <x:row r="77">
      <x:c r="A77" s="158"/>
      <x:c r="B77" s="44"/>
      <x:c r="C77" s="40"/>
      <x:c r="D77" s="30"/>
      <x:c r="E77" s="30"/>
      <x:c r="F77" s="30"/>
      <x:c r="G77" s="30"/>
      <x:c r="H77" s="30"/>
      <x:c r="I77" s="40"/>
      <x:c r="J77" s="30"/>
      <x:c r="K77" s="30"/>
      <x:c r="L77" s="30"/>
      <x:c r="M77" s="30"/>
      <x:c r="N77" s="30"/>
      <x:c r="O77" s="30"/>
      <x:c r="P77" s="30"/>
      <x:c r="R77" s="160" t="str">
        <x:f>IF(A77="","",A77)</x:f>
      </x:c>
      <x:c r="S77" s="126" t="str">
        <x:f>IF(B77="","",B77)</x:f>
      </x:c>
      <x:c r="T77" s="36" t="str">
        <x:f>IF(S77="","",IFERROR(INDEX('02_Öğrenciler'!$B$5:$B$203,MATCH(S77,'02_Öğrenciler'!$A$5:$A$203,0)),"KOD HATALI"))</x:f>
      </x:c>
      <x:c r="U77" s="36" t="str">
        <x:f>IF(S77="","",IFERROR(INDEX('02_Öğrenciler'!$C$5:$C$203,MATCH(S77,'02_Öğrenciler'!$A$5:$A$203,0)),""))</x:f>
      </x:c>
      <x:c r="V77" s="132" t="str">
        <x:f>IF(C77="","",C77)</x:f>
      </x:c>
      <x:c r="W77" s="36" t="str">
        <x:f>IF(D77="","",D77)</x:f>
      </x:c>
      <x:c r="X77" s="36" t="str">
        <x:f>IF(E77="","",E77)</x:f>
      </x:c>
      <x:c r="Y77" s="36" t="str">
        <x:f>IF(F77="","",F77)</x:f>
      </x:c>
      <x:c r="Z77" s="36" t="str">
        <x:f>IF(G77="","",G77)</x:f>
      </x:c>
      <x:c r="AA77" s="36" t="str">
        <x:f>IF(OR(Y77="",Z77=""),"",Y77-Z77)</x:f>
      </x:c>
      <x:c r="AB77" s="52" t="str">
        <x:f>IF(OR(Y77="",Z77=""),"",IFERROR(Z77/Y77,0))</x:f>
      </x:c>
      <x:c r="AC77" s="36" t="str">
        <x:f>IF(H77="","",H77)</x:f>
      </x:c>
      <x:c r="AD77" s="132" t="str">
        <x:f>IF(I77="","",I77)</x:f>
      </x:c>
      <x:c r="AE77" s="36" t="str">
        <x:f>IF(J77="","",J77)</x:f>
      </x:c>
      <x:c r="AF77" s="36" t="str">
        <x:f>IF(K77="","",K77)</x:f>
      </x:c>
      <x:c r="AG77" s="36" t="str">
        <x:f>IF(L77="","",L77)</x:f>
      </x:c>
      <x:c r="AH77" s="36" t="str">
        <x:f>IF(M77="","",M77)</x:f>
      </x:c>
      <x:c r="AI77" s="36" t="str">
        <x:f>IF(N77="","",N77)</x:f>
      </x:c>
      <x:c r="AJ77" s="36" t="str">
        <x:f>IF(O77="","",O77)</x:f>
      </x:c>
      <x:c r="AK77" s="36" t="str">
        <x:f>IF(P77="","",P77)</x:f>
      </x:c>
      <x:c r="AL77" s="36" t="str">
        <x:f>IF(R77="","",TEXT(R77,"yyyymmddhhmmss")&amp;"-"&amp;S77&amp;"-"&amp;TEXT(ROW()-4,"0000"))</x:f>
      </x:c>
      <x:c r="AM77" s="36" t="str">
        <x:f>IF(R77="","",IF(T77="KOD HATALI","Öğrenci Kodu Hatalı",IF(OR(V77="",W77="",X77="",Y77="",Z77="",AF77="",AG77="",AJ77="",AK77=""),"Eksik Zorunlu Alan",IF(OR(Y77&lt;0,Z77&lt;0,Z77&gt;Y77),"Soru Sayısı Hatası",IF(AND(AD77&lt;&gt;"",AD77&lt;V77),"Ödev Tarihi Hatası",IF(COUNTIF($AL$5:AL77,AL77)&gt;1,"Mükerrer Form Kaydı","Aktarıma Hazır"))))))</x:f>
      </x:c>
      <x:c r="AN77" s="30"/>
      <x:c r="AO77" s="40"/>
      <x:c r="AP77" s="30"/>
    </x:row>
    <x:row r="78">
      <x:c r="A78" s="158"/>
      <x:c r="B78" s="44"/>
      <x:c r="C78" s="40"/>
      <x:c r="D78" s="30"/>
      <x:c r="E78" s="30"/>
      <x:c r="F78" s="30"/>
      <x:c r="G78" s="30"/>
      <x:c r="H78" s="30"/>
      <x:c r="I78" s="40"/>
      <x:c r="J78" s="30"/>
      <x:c r="K78" s="30"/>
      <x:c r="L78" s="30"/>
      <x:c r="M78" s="30"/>
      <x:c r="N78" s="30"/>
      <x:c r="O78" s="30"/>
      <x:c r="P78" s="30"/>
      <x:c r="R78" s="160" t="str">
        <x:f>IF(A78="","",A78)</x:f>
      </x:c>
      <x:c r="S78" s="126" t="str">
        <x:f>IF(B78="","",B78)</x:f>
      </x:c>
      <x:c r="T78" s="36" t="str">
        <x:f>IF(S78="","",IFERROR(INDEX('02_Öğrenciler'!$B$5:$B$203,MATCH(S78,'02_Öğrenciler'!$A$5:$A$203,0)),"KOD HATALI"))</x:f>
      </x:c>
      <x:c r="U78" s="36" t="str">
        <x:f>IF(S78="","",IFERROR(INDEX('02_Öğrenciler'!$C$5:$C$203,MATCH(S78,'02_Öğrenciler'!$A$5:$A$203,0)),""))</x:f>
      </x:c>
      <x:c r="V78" s="132" t="str">
        <x:f>IF(C78="","",C78)</x:f>
      </x:c>
      <x:c r="W78" s="36" t="str">
        <x:f>IF(D78="","",D78)</x:f>
      </x:c>
      <x:c r="X78" s="36" t="str">
        <x:f>IF(E78="","",E78)</x:f>
      </x:c>
      <x:c r="Y78" s="36" t="str">
        <x:f>IF(F78="","",F78)</x:f>
      </x:c>
      <x:c r="Z78" s="36" t="str">
        <x:f>IF(G78="","",G78)</x:f>
      </x:c>
      <x:c r="AA78" s="36" t="str">
        <x:f>IF(OR(Y78="",Z78=""),"",Y78-Z78)</x:f>
      </x:c>
      <x:c r="AB78" s="52" t="str">
        <x:f>IF(OR(Y78="",Z78=""),"",IFERROR(Z78/Y78,0))</x:f>
      </x:c>
      <x:c r="AC78" s="36" t="str">
        <x:f>IF(H78="","",H78)</x:f>
      </x:c>
      <x:c r="AD78" s="132" t="str">
        <x:f>IF(I78="","",I78)</x:f>
      </x:c>
      <x:c r="AE78" s="36" t="str">
        <x:f>IF(J78="","",J78)</x:f>
      </x:c>
      <x:c r="AF78" s="36" t="str">
        <x:f>IF(K78="","",K78)</x:f>
      </x:c>
      <x:c r="AG78" s="36" t="str">
        <x:f>IF(L78="","",L78)</x:f>
      </x:c>
      <x:c r="AH78" s="36" t="str">
        <x:f>IF(M78="","",M78)</x:f>
      </x:c>
      <x:c r="AI78" s="36" t="str">
        <x:f>IF(N78="","",N78)</x:f>
      </x:c>
      <x:c r="AJ78" s="36" t="str">
        <x:f>IF(O78="","",O78)</x:f>
      </x:c>
      <x:c r="AK78" s="36" t="str">
        <x:f>IF(P78="","",P78)</x:f>
      </x:c>
      <x:c r="AL78" s="36" t="str">
        <x:f>IF(R78="","",TEXT(R78,"yyyymmddhhmmss")&amp;"-"&amp;S78&amp;"-"&amp;TEXT(ROW()-4,"0000"))</x:f>
      </x:c>
      <x:c r="AM78" s="36" t="str">
        <x:f>IF(R78="","",IF(T78="KOD HATALI","Öğrenci Kodu Hatalı",IF(OR(V78="",W78="",X78="",Y78="",Z78="",AF78="",AG78="",AJ78="",AK78=""),"Eksik Zorunlu Alan",IF(OR(Y78&lt;0,Z78&lt;0,Z78&gt;Y78),"Soru Sayısı Hatası",IF(AND(AD78&lt;&gt;"",AD78&lt;V78),"Ödev Tarihi Hatası",IF(COUNTIF($AL$5:AL78,AL78)&gt;1,"Mükerrer Form Kaydı","Aktarıma Hazır"))))))</x:f>
      </x:c>
      <x:c r="AN78" s="30"/>
      <x:c r="AO78" s="40"/>
      <x:c r="AP78" s="30"/>
    </x:row>
    <x:row r="79">
      <x:c r="A79" s="158"/>
      <x:c r="B79" s="44"/>
      <x:c r="C79" s="40"/>
      <x:c r="D79" s="30"/>
      <x:c r="E79" s="30"/>
      <x:c r="F79" s="30"/>
      <x:c r="G79" s="30"/>
      <x:c r="H79" s="30"/>
      <x:c r="I79" s="40"/>
      <x:c r="J79" s="30"/>
      <x:c r="K79" s="30"/>
      <x:c r="L79" s="30"/>
      <x:c r="M79" s="30"/>
      <x:c r="N79" s="30"/>
      <x:c r="O79" s="30"/>
      <x:c r="P79" s="30"/>
      <x:c r="R79" s="160" t="str">
        <x:f>IF(A79="","",A79)</x:f>
      </x:c>
      <x:c r="S79" s="126" t="str">
        <x:f>IF(B79="","",B79)</x:f>
      </x:c>
      <x:c r="T79" s="36" t="str">
        <x:f>IF(S79="","",IFERROR(INDEX('02_Öğrenciler'!$B$5:$B$203,MATCH(S79,'02_Öğrenciler'!$A$5:$A$203,0)),"KOD HATALI"))</x:f>
      </x:c>
      <x:c r="U79" s="36" t="str">
        <x:f>IF(S79="","",IFERROR(INDEX('02_Öğrenciler'!$C$5:$C$203,MATCH(S79,'02_Öğrenciler'!$A$5:$A$203,0)),""))</x:f>
      </x:c>
      <x:c r="V79" s="132" t="str">
        <x:f>IF(C79="","",C79)</x:f>
      </x:c>
      <x:c r="W79" s="36" t="str">
        <x:f>IF(D79="","",D79)</x:f>
      </x:c>
      <x:c r="X79" s="36" t="str">
        <x:f>IF(E79="","",E79)</x:f>
      </x:c>
      <x:c r="Y79" s="36" t="str">
        <x:f>IF(F79="","",F79)</x:f>
      </x:c>
      <x:c r="Z79" s="36" t="str">
        <x:f>IF(G79="","",G79)</x:f>
      </x:c>
      <x:c r="AA79" s="36" t="str">
        <x:f>IF(OR(Y79="",Z79=""),"",Y79-Z79)</x:f>
      </x:c>
      <x:c r="AB79" s="52" t="str">
        <x:f>IF(OR(Y79="",Z79=""),"",IFERROR(Z79/Y79,0))</x:f>
      </x:c>
      <x:c r="AC79" s="36" t="str">
        <x:f>IF(H79="","",H79)</x:f>
      </x:c>
      <x:c r="AD79" s="132" t="str">
        <x:f>IF(I79="","",I79)</x:f>
      </x:c>
      <x:c r="AE79" s="36" t="str">
        <x:f>IF(J79="","",J79)</x:f>
      </x:c>
      <x:c r="AF79" s="36" t="str">
        <x:f>IF(K79="","",K79)</x:f>
      </x:c>
      <x:c r="AG79" s="36" t="str">
        <x:f>IF(L79="","",L79)</x:f>
      </x:c>
      <x:c r="AH79" s="36" t="str">
        <x:f>IF(M79="","",M79)</x:f>
      </x:c>
      <x:c r="AI79" s="36" t="str">
        <x:f>IF(N79="","",N79)</x:f>
      </x:c>
      <x:c r="AJ79" s="36" t="str">
        <x:f>IF(O79="","",O79)</x:f>
      </x:c>
      <x:c r="AK79" s="36" t="str">
        <x:f>IF(P79="","",P79)</x:f>
      </x:c>
      <x:c r="AL79" s="36" t="str">
        <x:f>IF(R79="","",TEXT(R79,"yyyymmddhhmmss")&amp;"-"&amp;S79&amp;"-"&amp;TEXT(ROW()-4,"0000"))</x:f>
      </x:c>
      <x:c r="AM79" s="36" t="str">
        <x:f>IF(R79="","",IF(T79="KOD HATALI","Öğrenci Kodu Hatalı",IF(OR(V79="",W79="",X79="",Y79="",Z79="",AF79="",AG79="",AJ79="",AK79=""),"Eksik Zorunlu Alan",IF(OR(Y79&lt;0,Z79&lt;0,Z79&gt;Y79),"Soru Sayısı Hatası",IF(AND(AD79&lt;&gt;"",AD79&lt;V79),"Ödev Tarihi Hatası",IF(COUNTIF($AL$5:AL79,AL79)&gt;1,"Mükerrer Form Kaydı","Aktarıma Hazır"))))))</x:f>
      </x:c>
      <x:c r="AN79" s="30"/>
      <x:c r="AO79" s="40"/>
      <x:c r="AP79" s="30"/>
    </x:row>
    <x:row r="80">
      <x:c r="A80" s="158"/>
      <x:c r="B80" s="44"/>
      <x:c r="C80" s="40"/>
      <x:c r="D80" s="30"/>
      <x:c r="E80" s="30"/>
      <x:c r="F80" s="30"/>
      <x:c r="G80" s="30"/>
      <x:c r="H80" s="30"/>
      <x:c r="I80" s="40"/>
      <x:c r="J80" s="30"/>
      <x:c r="K80" s="30"/>
      <x:c r="L80" s="30"/>
      <x:c r="M80" s="30"/>
      <x:c r="N80" s="30"/>
      <x:c r="O80" s="30"/>
      <x:c r="P80" s="30"/>
      <x:c r="R80" s="160" t="str">
        <x:f>IF(A80="","",A80)</x:f>
      </x:c>
      <x:c r="S80" s="126" t="str">
        <x:f>IF(B80="","",B80)</x:f>
      </x:c>
      <x:c r="T80" s="36" t="str">
        <x:f>IF(S80="","",IFERROR(INDEX('02_Öğrenciler'!$B$5:$B$203,MATCH(S80,'02_Öğrenciler'!$A$5:$A$203,0)),"KOD HATALI"))</x:f>
      </x:c>
      <x:c r="U80" s="36" t="str">
        <x:f>IF(S80="","",IFERROR(INDEX('02_Öğrenciler'!$C$5:$C$203,MATCH(S80,'02_Öğrenciler'!$A$5:$A$203,0)),""))</x:f>
      </x:c>
      <x:c r="V80" s="132" t="str">
        <x:f>IF(C80="","",C80)</x:f>
      </x:c>
      <x:c r="W80" s="36" t="str">
        <x:f>IF(D80="","",D80)</x:f>
      </x:c>
      <x:c r="X80" s="36" t="str">
        <x:f>IF(E80="","",E80)</x:f>
      </x:c>
      <x:c r="Y80" s="36" t="str">
        <x:f>IF(F80="","",F80)</x:f>
      </x:c>
      <x:c r="Z80" s="36" t="str">
        <x:f>IF(G80="","",G80)</x:f>
      </x:c>
      <x:c r="AA80" s="36" t="str">
        <x:f>IF(OR(Y80="",Z80=""),"",Y80-Z80)</x:f>
      </x:c>
      <x:c r="AB80" s="52" t="str">
        <x:f>IF(OR(Y80="",Z80=""),"",IFERROR(Z80/Y80,0))</x:f>
      </x:c>
      <x:c r="AC80" s="36" t="str">
        <x:f>IF(H80="","",H80)</x:f>
      </x:c>
      <x:c r="AD80" s="132" t="str">
        <x:f>IF(I80="","",I80)</x:f>
      </x:c>
      <x:c r="AE80" s="36" t="str">
        <x:f>IF(J80="","",J80)</x:f>
      </x:c>
      <x:c r="AF80" s="36" t="str">
        <x:f>IF(K80="","",K80)</x:f>
      </x:c>
      <x:c r="AG80" s="36" t="str">
        <x:f>IF(L80="","",L80)</x:f>
      </x:c>
      <x:c r="AH80" s="36" t="str">
        <x:f>IF(M80="","",M80)</x:f>
      </x:c>
      <x:c r="AI80" s="36" t="str">
        <x:f>IF(N80="","",N80)</x:f>
      </x:c>
      <x:c r="AJ80" s="36" t="str">
        <x:f>IF(O80="","",O80)</x:f>
      </x:c>
      <x:c r="AK80" s="36" t="str">
        <x:f>IF(P80="","",P80)</x:f>
      </x:c>
      <x:c r="AL80" s="36" t="str">
        <x:f>IF(R80="","",TEXT(R80,"yyyymmddhhmmss")&amp;"-"&amp;S80&amp;"-"&amp;TEXT(ROW()-4,"0000"))</x:f>
      </x:c>
      <x:c r="AM80" s="36" t="str">
        <x:f>IF(R80="","",IF(T80="KOD HATALI","Öğrenci Kodu Hatalı",IF(OR(V80="",W80="",X80="",Y80="",Z80="",AF80="",AG80="",AJ80="",AK80=""),"Eksik Zorunlu Alan",IF(OR(Y80&lt;0,Z80&lt;0,Z80&gt;Y80),"Soru Sayısı Hatası",IF(AND(AD80&lt;&gt;"",AD80&lt;V80),"Ödev Tarihi Hatası",IF(COUNTIF($AL$5:AL80,AL80)&gt;1,"Mükerrer Form Kaydı","Aktarıma Hazır"))))))</x:f>
      </x:c>
      <x:c r="AN80" s="30"/>
      <x:c r="AO80" s="40"/>
      <x:c r="AP80" s="30"/>
    </x:row>
    <x:row r="81">
      <x:c r="A81" s="158"/>
      <x:c r="B81" s="44"/>
      <x:c r="C81" s="40"/>
      <x:c r="D81" s="30"/>
      <x:c r="E81" s="30"/>
      <x:c r="F81" s="30"/>
      <x:c r="G81" s="30"/>
      <x:c r="H81" s="30"/>
      <x:c r="I81" s="40"/>
      <x:c r="J81" s="30"/>
      <x:c r="K81" s="30"/>
      <x:c r="L81" s="30"/>
      <x:c r="M81" s="30"/>
      <x:c r="N81" s="30"/>
      <x:c r="O81" s="30"/>
      <x:c r="P81" s="30"/>
      <x:c r="R81" s="160" t="str">
        <x:f>IF(A81="","",A81)</x:f>
      </x:c>
      <x:c r="S81" s="126" t="str">
        <x:f>IF(B81="","",B81)</x:f>
      </x:c>
      <x:c r="T81" s="36" t="str">
        <x:f>IF(S81="","",IFERROR(INDEX('02_Öğrenciler'!$B$5:$B$203,MATCH(S81,'02_Öğrenciler'!$A$5:$A$203,0)),"KOD HATALI"))</x:f>
      </x:c>
      <x:c r="U81" s="36" t="str">
        <x:f>IF(S81="","",IFERROR(INDEX('02_Öğrenciler'!$C$5:$C$203,MATCH(S81,'02_Öğrenciler'!$A$5:$A$203,0)),""))</x:f>
      </x:c>
      <x:c r="V81" s="132" t="str">
        <x:f>IF(C81="","",C81)</x:f>
      </x:c>
      <x:c r="W81" s="36" t="str">
        <x:f>IF(D81="","",D81)</x:f>
      </x:c>
      <x:c r="X81" s="36" t="str">
        <x:f>IF(E81="","",E81)</x:f>
      </x:c>
      <x:c r="Y81" s="36" t="str">
        <x:f>IF(F81="","",F81)</x:f>
      </x:c>
      <x:c r="Z81" s="36" t="str">
        <x:f>IF(G81="","",G81)</x:f>
      </x:c>
      <x:c r="AA81" s="36" t="str">
        <x:f>IF(OR(Y81="",Z81=""),"",Y81-Z81)</x:f>
      </x:c>
      <x:c r="AB81" s="52" t="str">
        <x:f>IF(OR(Y81="",Z81=""),"",IFERROR(Z81/Y81,0))</x:f>
      </x:c>
      <x:c r="AC81" s="36" t="str">
        <x:f>IF(H81="","",H81)</x:f>
      </x:c>
      <x:c r="AD81" s="132" t="str">
        <x:f>IF(I81="","",I81)</x:f>
      </x:c>
      <x:c r="AE81" s="36" t="str">
        <x:f>IF(J81="","",J81)</x:f>
      </x:c>
      <x:c r="AF81" s="36" t="str">
        <x:f>IF(K81="","",K81)</x:f>
      </x:c>
      <x:c r="AG81" s="36" t="str">
        <x:f>IF(L81="","",L81)</x:f>
      </x:c>
      <x:c r="AH81" s="36" t="str">
        <x:f>IF(M81="","",M81)</x:f>
      </x:c>
      <x:c r="AI81" s="36" t="str">
        <x:f>IF(N81="","",N81)</x:f>
      </x:c>
      <x:c r="AJ81" s="36" t="str">
        <x:f>IF(O81="","",O81)</x:f>
      </x:c>
      <x:c r="AK81" s="36" t="str">
        <x:f>IF(P81="","",P81)</x:f>
      </x:c>
      <x:c r="AL81" s="36" t="str">
        <x:f>IF(R81="","",TEXT(R81,"yyyymmddhhmmss")&amp;"-"&amp;S81&amp;"-"&amp;TEXT(ROW()-4,"0000"))</x:f>
      </x:c>
      <x:c r="AM81" s="36" t="str">
        <x:f>IF(R81="","",IF(T81="KOD HATALI","Öğrenci Kodu Hatalı",IF(OR(V81="",W81="",X81="",Y81="",Z81="",AF81="",AG81="",AJ81="",AK81=""),"Eksik Zorunlu Alan",IF(OR(Y81&lt;0,Z81&lt;0,Z81&gt;Y81),"Soru Sayısı Hatası",IF(AND(AD81&lt;&gt;"",AD81&lt;V81),"Ödev Tarihi Hatası",IF(COUNTIF($AL$5:AL81,AL81)&gt;1,"Mükerrer Form Kaydı","Aktarıma Hazır"))))))</x:f>
      </x:c>
      <x:c r="AN81" s="30"/>
      <x:c r="AO81" s="40"/>
      <x:c r="AP81" s="30"/>
    </x:row>
    <x:row r="82">
      <x:c r="A82" s="158"/>
      <x:c r="B82" s="44"/>
      <x:c r="C82" s="40"/>
      <x:c r="D82" s="30"/>
      <x:c r="E82" s="30"/>
      <x:c r="F82" s="30"/>
      <x:c r="G82" s="30"/>
      <x:c r="H82" s="30"/>
      <x:c r="I82" s="40"/>
      <x:c r="J82" s="30"/>
      <x:c r="K82" s="30"/>
      <x:c r="L82" s="30"/>
      <x:c r="M82" s="30"/>
      <x:c r="N82" s="30"/>
      <x:c r="O82" s="30"/>
      <x:c r="P82" s="30"/>
      <x:c r="R82" s="160" t="str">
        <x:f>IF(A82="","",A82)</x:f>
      </x:c>
      <x:c r="S82" s="126" t="str">
        <x:f>IF(B82="","",B82)</x:f>
      </x:c>
      <x:c r="T82" s="36" t="str">
        <x:f>IF(S82="","",IFERROR(INDEX('02_Öğrenciler'!$B$5:$B$203,MATCH(S82,'02_Öğrenciler'!$A$5:$A$203,0)),"KOD HATALI"))</x:f>
      </x:c>
      <x:c r="U82" s="36" t="str">
        <x:f>IF(S82="","",IFERROR(INDEX('02_Öğrenciler'!$C$5:$C$203,MATCH(S82,'02_Öğrenciler'!$A$5:$A$203,0)),""))</x:f>
      </x:c>
      <x:c r="V82" s="132" t="str">
        <x:f>IF(C82="","",C82)</x:f>
      </x:c>
      <x:c r="W82" s="36" t="str">
        <x:f>IF(D82="","",D82)</x:f>
      </x:c>
      <x:c r="X82" s="36" t="str">
        <x:f>IF(E82="","",E82)</x:f>
      </x:c>
      <x:c r="Y82" s="36" t="str">
        <x:f>IF(F82="","",F82)</x:f>
      </x:c>
      <x:c r="Z82" s="36" t="str">
        <x:f>IF(G82="","",G82)</x:f>
      </x:c>
      <x:c r="AA82" s="36" t="str">
        <x:f>IF(OR(Y82="",Z82=""),"",Y82-Z82)</x:f>
      </x:c>
      <x:c r="AB82" s="52" t="str">
        <x:f>IF(OR(Y82="",Z82=""),"",IFERROR(Z82/Y82,0))</x:f>
      </x:c>
      <x:c r="AC82" s="36" t="str">
        <x:f>IF(H82="","",H82)</x:f>
      </x:c>
      <x:c r="AD82" s="132" t="str">
        <x:f>IF(I82="","",I82)</x:f>
      </x:c>
      <x:c r="AE82" s="36" t="str">
        <x:f>IF(J82="","",J82)</x:f>
      </x:c>
      <x:c r="AF82" s="36" t="str">
        <x:f>IF(K82="","",K82)</x:f>
      </x:c>
      <x:c r="AG82" s="36" t="str">
        <x:f>IF(L82="","",L82)</x:f>
      </x:c>
      <x:c r="AH82" s="36" t="str">
        <x:f>IF(M82="","",M82)</x:f>
      </x:c>
      <x:c r="AI82" s="36" t="str">
        <x:f>IF(N82="","",N82)</x:f>
      </x:c>
      <x:c r="AJ82" s="36" t="str">
        <x:f>IF(O82="","",O82)</x:f>
      </x:c>
      <x:c r="AK82" s="36" t="str">
        <x:f>IF(P82="","",P82)</x:f>
      </x:c>
      <x:c r="AL82" s="36" t="str">
        <x:f>IF(R82="","",TEXT(R82,"yyyymmddhhmmss")&amp;"-"&amp;S82&amp;"-"&amp;TEXT(ROW()-4,"0000"))</x:f>
      </x:c>
      <x:c r="AM82" s="36" t="str">
        <x:f>IF(R82="","",IF(T82="KOD HATALI","Öğrenci Kodu Hatalı",IF(OR(V82="",W82="",X82="",Y82="",Z82="",AF82="",AG82="",AJ82="",AK82=""),"Eksik Zorunlu Alan",IF(OR(Y82&lt;0,Z82&lt;0,Z82&gt;Y82),"Soru Sayısı Hatası",IF(AND(AD82&lt;&gt;"",AD82&lt;V82),"Ödev Tarihi Hatası",IF(COUNTIF($AL$5:AL82,AL82)&gt;1,"Mükerrer Form Kaydı","Aktarıma Hazır"))))))</x:f>
      </x:c>
      <x:c r="AN82" s="30"/>
      <x:c r="AO82" s="40"/>
      <x:c r="AP82" s="30"/>
    </x:row>
    <x:row r="83">
      <x:c r="A83" s="158"/>
      <x:c r="B83" s="44"/>
      <x:c r="C83" s="40"/>
      <x:c r="D83" s="30"/>
      <x:c r="E83" s="30"/>
      <x:c r="F83" s="30"/>
      <x:c r="G83" s="30"/>
      <x:c r="H83" s="30"/>
      <x:c r="I83" s="40"/>
      <x:c r="J83" s="30"/>
      <x:c r="K83" s="30"/>
      <x:c r="L83" s="30"/>
      <x:c r="M83" s="30"/>
      <x:c r="N83" s="30"/>
      <x:c r="O83" s="30"/>
      <x:c r="P83" s="30"/>
      <x:c r="R83" s="160" t="str">
        <x:f>IF(A83="","",A83)</x:f>
      </x:c>
      <x:c r="S83" s="126" t="str">
        <x:f>IF(B83="","",B83)</x:f>
      </x:c>
      <x:c r="T83" s="36" t="str">
        <x:f>IF(S83="","",IFERROR(INDEX('02_Öğrenciler'!$B$5:$B$203,MATCH(S83,'02_Öğrenciler'!$A$5:$A$203,0)),"KOD HATALI"))</x:f>
      </x:c>
      <x:c r="U83" s="36" t="str">
        <x:f>IF(S83="","",IFERROR(INDEX('02_Öğrenciler'!$C$5:$C$203,MATCH(S83,'02_Öğrenciler'!$A$5:$A$203,0)),""))</x:f>
      </x:c>
      <x:c r="V83" s="132" t="str">
        <x:f>IF(C83="","",C83)</x:f>
      </x:c>
      <x:c r="W83" s="36" t="str">
        <x:f>IF(D83="","",D83)</x:f>
      </x:c>
      <x:c r="X83" s="36" t="str">
        <x:f>IF(E83="","",E83)</x:f>
      </x:c>
      <x:c r="Y83" s="36" t="str">
        <x:f>IF(F83="","",F83)</x:f>
      </x:c>
      <x:c r="Z83" s="36" t="str">
        <x:f>IF(G83="","",G83)</x:f>
      </x:c>
      <x:c r="AA83" s="36" t="str">
        <x:f>IF(OR(Y83="",Z83=""),"",Y83-Z83)</x:f>
      </x:c>
      <x:c r="AB83" s="52" t="str">
        <x:f>IF(OR(Y83="",Z83=""),"",IFERROR(Z83/Y83,0))</x:f>
      </x:c>
      <x:c r="AC83" s="36" t="str">
        <x:f>IF(H83="","",H83)</x:f>
      </x:c>
      <x:c r="AD83" s="132" t="str">
        <x:f>IF(I83="","",I83)</x:f>
      </x:c>
      <x:c r="AE83" s="36" t="str">
        <x:f>IF(J83="","",J83)</x:f>
      </x:c>
      <x:c r="AF83" s="36" t="str">
        <x:f>IF(K83="","",K83)</x:f>
      </x:c>
      <x:c r="AG83" s="36" t="str">
        <x:f>IF(L83="","",L83)</x:f>
      </x:c>
      <x:c r="AH83" s="36" t="str">
        <x:f>IF(M83="","",M83)</x:f>
      </x:c>
      <x:c r="AI83" s="36" t="str">
        <x:f>IF(N83="","",N83)</x:f>
      </x:c>
      <x:c r="AJ83" s="36" t="str">
        <x:f>IF(O83="","",O83)</x:f>
      </x:c>
      <x:c r="AK83" s="36" t="str">
        <x:f>IF(P83="","",P83)</x:f>
      </x:c>
      <x:c r="AL83" s="36" t="str">
        <x:f>IF(R83="","",TEXT(R83,"yyyymmddhhmmss")&amp;"-"&amp;S83&amp;"-"&amp;TEXT(ROW()-4,"0000"))</x:f>
      </x:c>
      <x:c r="AM83" s="36" t="str">
        <x:f>IF(R83="","",IF(T83="KOD HATALI","Öğrenci Kodu Hatalı",IF(OR(V83="",W83="",X83="",Y83="",Z83="",AF83="",AG83="",AJ83="",AK83=""),"Eksik Zorunlu Alan",IF(OR(Y83&lt;0,Z83&lt;0,Z83&gt;Y83),"Soru Sayısı Hatası",IF(AND(AD83&lt;&gt;"",AD83&lt;V83),"Ödev Tarihi Hatası",IF(COUNTIF($AL$5:AL83,AL83)&gt;1,"Mükerrer Form Kaydı","Aktarıma Hazır"))))))</x:f>
      </x:c>
      <x:c r="AN83" s="30"/>
      <x:c r="AO83" s="40"/>
      <x:c r="AP83" s="30"/>
    </x:row>
    <x:row r="84">
      <x:c r="A84" s="158"/>
      <x:c r="B84" s="44"/>
      <x:c r="C84" s="40"/>
      <x:c r="D84" s="30"/>
      <x:c r="E84" s="30"/>
      <x:c r="F84" s="30"/>
      <x:c r="G84" s="30"/>
      <x:c r="H84" s="30"/>
      <x:c r="I84" s="40"/>
      <x:c r="J84" s="30"/>
      <x:c r="K84" s="30"/>
      <x:c r="L84" s="30"/>
      <x:c r="M84" s="30"/>
      <x:c r="N84" s="30"/>
      <x:c r="O84" s="30"/>
      <x:c r="P84" s="30"/>
      <x:c r="R84" s="160" t="str">
        <x:f>IF(A84="","",A84)</x:f>
      </x:c>
      <x:c r="S84" s="126" t="str">
        <x:f>IF(B84="","",B84)</x:f>
      </x:c>
      <x:c r="T84" s="36" t="str">
        <x:f>IF(S84="","",IFERROR(INDEX('02_Öğrenciler'!$B$5:$B$203,MATCH(S84,'02_Öğrenciler'!$A$5:$A$203,0)),"KOD HATALI"))</x:f>
      </x:c>
      <x:c r="U84" s="36" t="str">
        <x:f>IF(S84="","",IFERROR(INDEX('02_Öğrenciler'!$C$5:$C$203,MATCH(S84,'02_Öğrenciler'!$A$5:$A$203,0)),""))</x:f>
      </x:c>
      <x:c r="V84" s="132" t="str">
        <x:f>IF(C84="","",C84)</x:f>
      </x:c>
      <x:c r="W84" s="36" t="str">
        <x:f>IF(D84="","",D84)</x:f>
      </x:c>
      <x:c r="X84" s="36" t="str">
        <x:f>IF(E84="","",E84)</x:f>
      </x:c>
      <x:c r="Y84" s="36" t="str">
        <x:f>IF(F84="","",F84)</x:f>
      </x:c>
      <x:c r="Z84" s="36" t="str">
        <x:f>IF(G84="","",G84)</x:f>
      </x:c>
      <x:c r="AA84" s="36" t="str">
        <x:f>IF(OR(Y84="",Z84=""),"",Y84-Z84)</x:f>
      </x:c>
      <x:c r="AB84" s="52" t="str">
        <x:f>IF(OR(Y84="",Z84=""),"",IFERROR(Z84/Y84,0))</x:f>
      </x:c>
      <x:c r="AC84" s="36" t="str">
        <x:f>IF(H84="","",H84)</x:f>
      </x:c>
      <x:c r="AD84" s="132" t="str">
        <x:f>IF(I84="","",I84)</x:f>
      </x:c>
      <x:c r="AE84" s="36" t="str">
        <x:f>IF(J84="","",J84)</x:f>
      </x:c>
      <x:c r="AF84" s="36" t="str">
        <x:f>IF(K84="","",K84)</x:f>
      </x:c>
      <x:c r="AG84" s="36" t="str">
        <x:f>IF(L84="","",L84)</x:f>
      </x:c>
      <x:c r="AH84" s="36" t="str">
        <x:f>IF(M84="","",M84)</x:f>
      </x:c>
      <x:c r="AI84" s="36" t="str">
        <x:f>IF(N84="","",N84)</x:f>
      </x:c>
      <x:c r="AJ84" s="36" t="str">
        <x:f>IF(O84="","",O84)</x:f>
      </x:c>
      <x:c r="AK84" s="36" t="str">
        <x:f>IF(P84="","",P84)</x:f>
      </x:c>
      <x:c r="AL84" s="36" t="str">
        <x:f>IF(R84="","",TEXT(R84,"yyyymmddhhmmss")&amp;"-"&amp;S84&amp;"-"&amp;TEXT(ROW()-4,"0000"))</x:f>
      </x:c>
      <x:c r="AM84" s="36" t="str">
        <x:f>IF(R84="","",IF(T84="KOD HATALI","Öğrenci Kodu Hatalı",IF(OR(V84="",W84="",X84="",Y84="",Z84="",AF84="",AG84="",AJ84="",AK84=""),"Eksik Zorunlu Alan",IF(OR(Y84&lt;0,Z84&lt;0,Z84&gt;Y84),"Soru Sayısı Hatası",IF(AND(AD84&lt;&gt;"",AD84&lt;V84),"Ödev Tarihi Hatası",IF(COUNTIF($AL$5:AL84,AL84)&gt;1,"Mükerrer Form Kaydı","Aktarıma Hazır"))))))</x:f>
      </x:c>
      <x:c r="AN84" s="30"/>
      <x:c r="AO84" s="40"/>
      <x:c r="AP84" s="30"/>
    </x:row>
    <x:row r="85">
      <x:c r="A85" s="158"/>
      <x:c r="B85" s="44"/>
      <x:c r="C85" s="40"/>
      <x:c r="D85" s="30"/>
      <x:c r="E85" s="30"/>
      <x:c r="F85" s="30"/>
      <x:c r="G85" s="30"/>
      <x:c r="H85" s="30"/>
      <x:c r="I85" s="40"/>
      <x:c r="J85" s="30"/>
      <x:c r="K85" s="30"/>
      <x:c r="L85" s="30"/>
      <x:c r="M85" s="30"/>
      <x:c r="N85" s="30"/>
      <x:c r="O85" s="30"/>
      <x:c r="P85" s="30"/>
      <x:c r="R85" s="160" t="str">
        <x:f>IF(A85="","",A85)</x:f>
      </x:c>
      <x:c r="S85" s="126" t="str">
        <x:f>IF(B85="","",B85)</x:f>
      </x:c>
      <x:c r="T85" s="36" t="str">
        <x:f>IF(S85="","",IFERROR(INDEX('02_Öğrenciler'!$B$5:$B$203,MATCH(S85,'02_Öğrenciler'!$A$5:$A$203,0)),"KOD HATALI"))</x:f>
      </x:c>
      <x:c r="U85" s="36" t="str">
        <x:f>IF(S85="","",IFERROR(INDEX('02_Öğrenciler'!$C$5:$C$203,MATCH(S85,'02_Öğrenciler'!$A$5:$A$203,0)),""))</x:f>
      </x:c>
      <x:c r="V85" s="132" t="str">
        <x:f>IF(C85="","",C85)</x:f>
      </x:c>
      <x:c r="W85" s="36" t="str">
        <x:f>IF(D85="","",D85)</x:f>
      </x:c>
      <x:c r="X85" s="36" t="str">
        <x:f>IF(E85="","",E85)</x:f>
      </x:c>
      <x:c r="Y85" s="36" t="str">
        <x:f>IF(F85="","",F85)</x:f>
      </x:c>
      <x:c r="Z85" s="36" t="str">
        <x:f>IF(G85="","",G85)</x:f>
      </x:c>
      <x:c r="AA85" s="36" t="str">
        <x:f>IF(OR(Y85="",Z85=""),"",Y85-Z85)</x:f>
      </x:c>
      <x:c r="AB85" s="52" t="str">
        <x:f>IF(OR(Y85="",Z85=""),"",IFERROR(Z85/Y85,0))</x:f>
      </x:c>
      <x:c r="AC85" s="36" t="str">
        <x:f>IF(H85="","",H85)</x:f>
      </x:c>
      <x:c r="AD85" s="132" t="str">
        <x:f>IF(I85="","",I85)</x:f>
      </x:c>
      <x:c r="AE85" s="36" t="str">
        <x:f>IF(J85="","",J85)</x:f>
      </x:c>
      <x:c r="AF85" s="36" t="str">
        <x:f>IF(K85="","",K85)</x:f>
      </x:c>
      <x:c r="AG85" s="36" t="str">
        <x:f>IF(L85="","",L85)</x:f>
      </x:c>
      <x:c r="AH85" s="36" t="str">
        <x:f>IF(M85="","",M85)</x:f>
      </x:c>
      <x:c r="AI85" s="36" t="str">
        <x:f>IF(N85="","",N85)</x:f>
      </x:c>
      <x:c r="AJ85" s="36" t="str">
        <x:f>IF(O85="","",O85)</x:f>
      </x:c>
      <x:c r="AK85" s="36" t="str">
        <x:f>IF(P85="","",P85)</x:f>
      </x:c>
      <x:c r="AL85" s="36" t="str">
        <x:f>IF(R85="","",TEXT(R85,"yyyymmddhhmmss")&amp;"-"&amp;S85&amp;"-"&amp;TEXT(ROW()-4,"0000"))</x:f>
      </x:c>
      <x:c r="AM85" s="36" t="str">
        <x:f>IF(R85="","",IF(T85="KOD HATALI","Öğrenci Kodu Hatalı",IF(OR(V85="",W85="",X85="",Y85="",Z85="",AF85="",AG85="",AJ85="",AK85=""),"Eksik Zorunlu Alan",IF(OR(Y85&lt;0,Z85&lt;0,Z85&gt;Y85),"Soru Sayısı Hatası",IF(AND(AD85&lt;&gt;"",AD85&lt;V85),"Ödev Tarihi Hatası",IF(COUNTIF($AL$5:AL85,AL85)&gt;1,"Mükerrer Form Kaydı","Aktarıma Hazır"))))))</x:f>
      </x:c>
      <x:c r="AN85" s="30"/>
      <x:c r="AO85" s="40"/>
      <x:c r="AP85" s="30"/>
    </x:row>
    <x:row r="86">
      <x:c r="A86" s="158"/>
      <x:c r="B86" s="44"/>
      <x:c r="C86" s="40"/>
      <x:c r="D86" s="30"/>
      <x:c r="E86" s="30"/>
      <x:c r="F86" s="30"/>
      <x:c r="G86" s="30"/>
      <x:c r="H86" s="30"/>
      <x:c r="I86" s="40"/>
      <x:c r="J86" s="30"/>
      <x:c r="K86" s="30"/>
      <x:c r="L86" s="30"/>
      <x:c r="M86" s="30"/>
      <x:c r="N86" s="30"/>
      <x:c r="O86" s="30"/>
      <x:c r="P86" s="30"/>
      <x:c r="R86" s="160" t="str">
        <x:f>IF(A86="","",A86)</x:f>
      </x:c>
      <x:c r="S86" s="126" t="str">
        <x:f>IF(B86="","",B86)</x:f>
      </x:c>
      <x:c r="T86" s="36" t="str">
        <x:f>IF(S86="","",IFERROR(INDEX('02_Öğrenciler'!$B$5:$B$203,MATCH(S86,'02_Öğrenciler'!$A$5:$A$203,0)),"KOD HATALI"))</x:f>
      </x:c>
      <x:c r="U86" s="36" t="str">
        <x:f>IF(S86="","",IFERROR(INDEX('02_Öğrenciler'!$C$5:$C$203,MATCH(S86,'02_Öğrenciler'!$A$5:$A$203,0)),""))</x:f>
      </x:c>
      <x:c r="V86" s="132" t="str">
        <x:f>IF(C86="","",C86)</x:f>
      </x:c>
      <x:c r="W86" s="36" t="str">
        <x:f>IF(D86="","",D86)</x:f>
      </x:c>
      <x:c r="X86" s="36" t="str">
        <x:f>IF(E86="","",E86)</x:f>
      </x:c>
      <x:c r="Y86" s="36" t="str">
        <x:f>IF(F86="","",F86)</x:f>
      </x:c>
      <x:c r="Z86" s="36" t="str">
        <x:f>IF(G86="","",G86)</x:f>
      </x:c>
      <x:c r="AA86" s="36" t="str">
        <x:f>IF(OR(Y86="",Z86=""),"",Y86-Z86)</x:f>
      </x:c>
      <x:c r="AB86" s="52" t="str">
        <x:f>IF(OR(Y86="",Z86=""),"",IFERROR(Z86/Y86,0))</x:f>
      </x:c>
      <x:c r="AC86" s="36" t="str">
        <x:f>IF(H86="","",H86)</x:f>
      </x:c>
      <x:c r="AD86" s="132" t="str">
        <x:f>IF(I86="","",I86)</x:f>
      </x:c>
      <x:c r="AE86" s="36" t="str">
        <x:f>IF(J86="","",J86)</x:f>
      </x:c>
      <x:c r="AF86" s="36" t="str">
        <x:f>IF(K86="","",K86)</x:f>
      </x:c>
      <x:c r="AG86" s="36" t="str">
        <x:f>IF(L86="","",L86)</x:f>
      </x:c>
      <x:c r="AH86" s="36" t="str">
        <x:f>IF(M86="","",M86)</x:f>
      </x:c>
      <x:c r="AI86" s="36" t="str">
        <x:f>IF(N86="","",N86)</x:f>
      </x:c>
      <x:c r="AJ86" s="36" t="str">
        <x:f>IF(O86="","",O86)</x:f>
      </x:c>
      <x:c r="AK86" s="36" t="str">
        <x:f>IF(P86="","",P86)</x:f>
      </x:c>
      <x:c r="AL86" s="36" t="str">
        <x:f>IF(R86="","",TEXT(R86,"yyyymmddhhmmss")&amp;"-"&amp;S86&amp;"-"&amp;TEXT(ROW()-4,"0000"))</x:f>
      </x:c>
      <x:c r="AM86" s="36" t="str">
        <x:f>IF(R86="","",IF(T86="KOD HATALI","Öğrenci Kodu Hatalı",IF(OR(V86="",W86="",X86="",Y86="",Z86="",AF86="",AG86="",AJ86="",AK86=""),"Eksik Zorunlu Alan",IF(OR(Y86&lt;0,Z86&lt;0,Z86&gt;Y86),"Soru Sayısı Hatası",IF(AND(AD86&lt;&gt;"",AD86&lt;V86),"Ödev Tarihi Hatası",IF(COUNTIF($AL$5:AL86,AL86)&gt;1,"Mükerrer Form Kaydı","Aktarıma Hazır"))))))</x:f>
      </x:c>
      <x:c r="AN86" s="30"/>
      <x:c r="AO86" s="40"/>
      <x:c r="AP86" s="30"/>
    </x:row>
    <x:row r="87">
      <x:c r="A87" s="158"/>
      <x:c r="B87" s="44"/>
      <x:c r="C87" s="40"/>
      <x:c r="D87" s="30"/>
      <x:c r="E87" s="30"/>
      <x:c r="F87" s="30"/>
      <x:c r="G87" s="30"/>
      <x:c r="H87" s="30"/>
      <x:c r="I87" s="40"/>
      <x:c r="J87" s="30"/>
      <x:c r="K87" s="30"/>
      <x:c r="L87" s="30"/>
      <x:c r="M87" s="30"/>
      <x:c r="N87" s="30"/>
      <x:c r="O87" s="30"/>
      <x:c r="P87" s="30"/>
      <x:c r="R87" s="160" t="str">
        <x:f>IF(A87="","",A87)</x:f>
      </x:c>
      <x:c r="S87" s="126" t="str">
        <x:f>IF(B87="","",B87)</x:f>
      </x:c>
      <x:c r="T87" s="36" t="str">
        <x:f>IF(S87="","",IFERROR(INDEX('02_Öğrenciler'!$B$5:$B$203,MATCH(S87,'02_Öğrenciler'!$A$5:$A$203,0)),"KOD HATALI"))</x:f>
      </x:c>
      <x:c r="U87" s="36" t="str">
        <x:f>IF(S87="","",IFERROR(INDEX('02_Öğrenciler'!$C$5:$C$203,MATCH(S87,'02_Öğrenciler'!$A$5:$A$203,0)),""))</x:f>
      </x:c>
      <x:c r="V87" s="132" t="str">
        <x:f>IF(C87="","",C87)</x:f>
      </x:c>
      <x:c r="W87" s="36" t="str">
        <x:f>IF(D87="","",D87)</x:f>
      </x:c>
      <x:c r="X87" s="36" t="str">
        <x:f>IF(E87="","",E87)</x:f>
      </x:c>
      <x:c r="Y87" s="36" t="str">
        <x:f>IF(F87="","",F87)</x:f>
      </x:c>
      <x:c r="Z87" s="36" t="str">
        <x:f>IF(G87="","",G87)</x:f>
      </x:c>
      <x:c r="AA87" s="36" t="str">
        <x:f>IF(OR(Y87="",Z87=""),"",Y87-Z87)</x:f>
      </x:c>
      <x:c r="AB87" s="52" t="str">
        <x:f>IF(OR(Y87="",Z87=""),"",IFERROR(Z87/Y87,0))</x:f>
      </x:c>
      <x:c r="AC87" s="36" t="str">
        <x:f>IF(H87="","",H87)</x:f>
      </x:c>
      <x:c r="AD87" s="132" t="str">
        <x:f>IF(I87="","",I87)</x:f>
      </x:c>
      <x:c r="AE87" s="36" t="str">
        <x:f>IF(J87="","",J87)</x:f>
      </x:c>
      <x:c r="AF87" s="36" t="str">
        <x:f>IF(K87="","",K87)</x:f>
      </x:c>
      <x:c r="AG87" s="36" t="str">
        <x:f>IF(L87="","",L87)</x:f>
      </x:c>
      <x:c r="AH87" s="36" t="str">
        <x:f>IF(M87="","",M87)</x:f>
      </x:c>
      <x:c r="AI87" s="36" t="str">
        <x:f>IF(N87="","",N87)</x:f>
      </x:c>
      <x:c r="AJ87" s="36" t="str">
        <x:f>IF(O87="","",O87)</x:f>
      </x:c>
      <x:c r="AK87" s="36" t="str">
        <x:f>IF(P87="","",P87)</x:f>
      </x:c>
      <x:c r="AL87" s="36" t="str">
        <x:f>IF(R87="","",TEXT(R87,"yyyymmddhhmmss")&amp;"-"&amp;S87&amp;"-"&amp;TEXT(ROW()-4,"0000"))</x:f>
      </x:c>
      <x:c r="AM87" s="36" t="str">
        <x:f>IF(R87="","",IF(T87="KOD HATALI","Öğrenci Kodu Hatalı",IF(OR(V87="",W87="",X87="",Y87="",Z87="",AF87="",AG87="",AJ87="",AK87=""),"Eksik Zorunlu Alan",IF(OR(Y87&lt;0,Z87&lt;0,Z87&gt;Y87),"Soru Sayısı Hatası",IF(AND(AD87&lt;&gt;"",AD87&lt;V87),"Ödev Tarihi Hatası",IF(COUNTIF($AL$5:AL87,AL87)&gt;1,"Mükerrer Form Kaydı","Aktarıma Hazır"))))))</x:f>
      </x:c>
      <x:c r="AN87" s="30"/>
      <x:c r="AO87" s="40"/>
      <x:c r="AP87" s="30"/>
    </x:row>
    <x:row r="88">
      <x:c r="A88" s="158"/>
      <x:c r="B88" s="44"/>
      <x:c r="C88" s="40"/>
      <x:c r="D88" s="30"/>
      <x:c r="E88" s="30"/>
      <x:c r="F88" s="30"/>
      <x:c r="G88" s="30"/>
      <x:c r="H88" s="30"/>
      <x:c r="I88" s="40"/>
      <x:c r="J88" s="30"/>
      <x:c r="K88" s="30"/>
      <x:c r="L88" s="30"/>
      <x:c r="M88" s="30"/>
      <x:c r="N88" s="30"/>
      <x:c r="O88" s="30"/>
      <x:c r="P88" s="30"/>
      <x:c r="R88" s="160" t="str">
        <x:f>IF(A88="","",A88)</x:f>
      </x:c>
      <x:c r="S88" s="126" t="str">
        <x:f>IF(B88="","",B88)</x:f>
      </x:c>
      <x:c r="T88" s="36" t="str">
        <x:f>IF(S88="","",IFERROR(INDEX('02_Öğrenciler'!$B$5:$B$203,MATCH(S88,'02_Öğrenciler'!$A$5:$A$203,0)),"KOD HATALI"))</x:f>
      </x:c>
      <x:c r="U88" s="36" t="str">
        <x:f>IF(S88="","",IFERROR(INDEX('02_Öğrenciler'!$C$5:$C$203,MATCH(S88,'02_Öğrenciler'!$A$5:$A$203,0)),""))</x:f>
      </x:c>
      <x:c r="V88" s="132" t="str">
        <x:f>IF(C88="","",C88)</x:f>
      </x:c>
      <x:c r="W88" s="36" t="str">
        <x:f>IF(D88="","",D88)</x:f>
      </x:c>
      <x:c r="X88" s="36" t="str">
        <x:f>IF(E88="","",E88)</x:f>
      </x:c>
      <x:c r="Y88" s="36" t="str">
        <x:f>IF(F88="","",F88)</x:f>
      </x:c>
      <x:c r="Z88" s="36" t="str">
        <x:f>IF(G88="","",G88)</x:f>
      </x:c>
      <x:c r="AA88" s="36" t="str">
        <x:f>IF(OR(Y88="",Z88=""),"",Y88-Z88)</x:f>
      </x:c>
      <x:c r="AB88" s="52" t="str">
        <x:f>IF(OR(Y88="",Z88=""),"",IFERROR(Z88/Y88,0))</x:f>
      </x:c>
      <x:c r="AC88" s="36" t="str">
        <x:f>IF(H88="","",H88)</x:f>
      </x:c>
      <x:c r="AD88" s="132" t="str">
        <x:f>IF(I88="","",I88)</x:f>
      </x:c>
      <x:c r="AE88" s="36" t="str">
        <x:f>IF(J88="","",J88)</x:f>
      </x:c>
      <x:c r="AF88" s="36" t="str">
        <x:f>IF(K88="","",K88)</x:f>
      </x:c>
      <x:c r="AG88" s="36" t="str">
        <x:f>IF(L88="","",L88)</x:f>
      </x:c>
      <x:c r="AH88" s="36" t="str">
        <x:f>IF(M88="","",M88)</x:f>
      </x:c>
      <x:c r="AI88" s="36" t="str">
        <x:f>IF(N88="","",N88)</x:f>
      </x:c>
      <x:c r="AJ88" s="36" t="str">
        <x:f>IF(O88="","",O88)</x:f>
      </x:c>
      <x:c r="AK88" s="36" t="str">
        <x:f>IF(P88="","",P88)</x:f>
      </x:c>
      <x:c r="AL88" s="36" t="str">
        <x:f>IF(R88="","",TEXT(R88,"yyyymmddhhmmss")&amp;"-"&amp;S88&amp;"-"&amp;TEXT(ROW()-4,"0000"))</x:f>
      </x:c>
      <x:c r="AM88" s="36" t="str">
        <x:f>IF(R88="","",IF(T88="KOD HATALI","Öğrenci Kodu Hatalı",IF(OR(V88="",W88="",X88="",Y88="",Z88="",AF88="",AG88="",AJ88="",AK88=""),"Eksik Zorunlu Alan",IF(OR(Y88&lt;0,Z88&lt;0,Z88&gt;Y88),"Soru Sayısı Hatası",IF(AND(AD88&lt;&gt;"",AD88&lt;V88),"Ödev Tarihi Hatası",IF(COUNTIF($AL$5:AL88,AL88)&gt;1,"Mükerrer Form Kaydı","Aktarıma Hazır"))))))</x:f>
      </x:c>
      <x:c r="AN88" s="30"/>
      <x:c r="AO88" s="40"/>
      <x:c r="AP88" s="30"/>
    </x:row>
    <x:row r="89">
      <x:c r="A89" s="158"/>
      <x:c r="B89" s="44"/>
      <x:c r="C89" s="40"/>
      <x:c r="D89" s="30"/>
      <x:c r="E89" s="30"/>
      <x:c r="F89" s="30"/>
      <x:c r="G89" s="30"/>
      <x:c r="H89" s="30"/>
      <x:c r="I89" s="40"/>
      <x:c r="J89" s="30"/>
      <x:c r="K89" s="30"/>
      <x:c r="L89" s="30"/>
      <x:c r="M89" s="30"/>
      <x:c r="N89" s="30"/>
      <x:c r="O89" s="30"/>
      <x:c r="P89" s="30"/>
      <x:c r="R89" s="160" t="str">
        <x:f>IF(A89="","",A89)</x:f>
      </x:c>
      <x:c r="S89" s="126" t="str">
        <x:f>IF(B89="","",B89)</x:f>
      </x:c>
      <x:c r="T89" s="36" t="str">
        <x:f>IF(S89="","",IFERROR(INDEX('02_Öğrenciler'!$B$5:$B$203,MATCH(S89,'02_Öğrenciler'!$A$5:$A$203,0)),"KOD HATALI"))</x:f>
      </x:c>
      <x:c r="U89" s="36" t="str">
        <x:f>IF(S89="","",IFERROR(INDEX('02_Öğrenciler'!$C$5:$C$203,MATCH(S89,'02_Öğrenciler'!$A$5:$A$203,0)),""))</x:f>
      </x:c>
      <x:c r="V89" s="132" t="str">
        <x:f>IF(C89="","",C89)</x:f>
      </x:c>
      <x:c r="W89" s="36" t="str">
        <x:f>IF(D89="","",D89)</x:f>
      </x:c>
      <x:c r="X89" s="36" t="str">
        <x:f>IF(E89="","",E89)</x:f>
      </x:c>
      <x:c r="Y89" s="36" t="str">
        <x:f>IF(F89="","",F89)</x:f>
      </x:c>
      <x:c r="Z89" s="36" t="str">
        <x:f>IF(G89="","",G89)</x:f>
      </x:c>
      <x:c r="AA89" s="36" t="str">
        <x:f>IF(OR(Y89="",Z89=""),"",Y89-Z89)</x:f>
      </x:c>
      <x:c r="AB89" s="52" t="str">
        <x:f>IF(OR(Y89="",Z89=""),"",IFERROR(Z89/Y89,0))</x:f>
      </x:c>
      <x:c r="AC89" s="36" t="str">
        <x:f>IF(H89="","",H89)</x:f>
      </x:c>
      <x:c r="AD89" s="132" t="str">
        <x:f>IF(I89="","",I89)</x:f>
      </x:c>
      <x:c r="AE89" s="36" t="str">
        <x:f>IF(J89="","",J89)</x:f>
      </x:c>
      <x:c r="AF89" s="36" t="str">
        <x:f>IF(K89="","",K89)</x:f>
      </x:c>
      <x:c r="AG89" s="36" t="str">
        <x:f>IF(L89="","",L89)</x:f>
      </x:c>
      <x:c r="AH89" s="36" t="str">
        <x:f>IF(M89="","",M89)</x:f>
      </x:c>
      <x:c r="AI89" s="36" t="str">
        <x:f>IF(N89="","",N89)</x:f>
      </x:c>
      <x:c r="AJ89" s="36" t="str">
        <x:f>IF(O89="","",O89)</x:f>
      </x:c>
      <x:c r="AK89" s="36" t="str">
        <x:f>IF(P89="","",P89)</x:f>
      </x:c>
      <x:c r="AL89" s="36" t="str">
        <x:f>IF(R89="","",TEXT(R89,"yyyymmddhhmmss")&amp;"-"&amp;S89&amp;"-"&amp;TEXT(ROW()-4,"0000"))</x:f>
      </x:c>
      <x:c r="AM89" s="36" t="str">
        <x:f>IF(R89="","",IF(T89="KOD HATALI","Öğrenci Kodu Hatalı",IF(OR(V89="",W89="",X89="",Y89="",Z89="",AF89="",AG89="",AJ89="",AK89=""),"Eksik Zorunlu Alan",IF(OR(Y89&lt;0,Z89&lt;0,Z89&gt;Y89),"Soru Sayısı Hatası",IF(AND(AD89&lt;&gt;"",AD89&lt;V89),"Ödev Tarihi Hatası",IF(COUNTIF($AL$5:AL89,AL89)&gt;1,"Mükerrer Form Kaydı","Aktarıma Hazır"))))))</x:f>
      </x:c>
      <x:c r="AN89" s="30"/>
      <x:c r="AO89" s="40"/>
      <x:c r="AP89" s="30"/>
    </x:row>
    <x:row r="90">
      <x:c r="A90" s="158"/>
      <x:c r="B90" s="44"/>
      <x:c r="C90" s="40"/>
      <x:c r="D90" s="30"/>
      <x:c r="E90" s="30"/>
      <x:c r="F90" s="30"/>
      <x:c r="G90" s="30"/>
      <x:c r="H90" s="30"/>
      <x:c r="I90" s="40"/>
      <x:c r="J90" s="30"/>
      <x:c r="K90" s="30"/>
      <x:c r="L90" s="30"/>
      <x:c r="M90" s="30"/>
      <x:c r="N90" s="30"/>
      <x:c r="O90" s="30"/>
      <x:c r="P90" s="30"/>
      <x:c r="R90" s="160" t="str">
        <x:f>IF(A90="","",A90)</x:f>
      </x:c>
      <x:c r="S90" s="126" t="str">
        <x:f>IF(B90="","",B90)</x:f>
      </x:c>
      <x:c r="T90" s="36" t="str">
        <x:f>IF(S90="","",IFERROR(INDEX('02_Öğrenciler'!$B$5:$B$203,MATCH(S90,'02_Öğrenciler'!$A$5:$A$203,0)),"KOD HATALI"))</x:f>
      </x:c>
      <x:c r="U90" s="36" t="str">
        <x:f>IF(S90="","",IFERROR(INDEX('02_Öğrenciler'!$C$5:$C$203,MATCH(S90,'02_Öğrenciler'!$A$5:$A$203,0)),""))</x:f>
      </x:c>
      <x:c r="V90" s="132" t="str">
        <x:f>IF(C90="","",C90)</x:f>
      </x:c>
      <x:c r="W90" s="36" t="str">
        <x:f>IF(D90="","",D90)</x:f>
      </x:c>
      <x:c r="X90" s="36" t="str">
        <x:f>IF(E90="","",E90)</x:f>
      </x:c>
      <x:c r="Y90" s="36" t="str">
        <x:f>IF(F90="","",F90)</x:f>
      </x:c>
      <x:c r="Z90" s="36" t="str">
        <x:f>IF(G90="","",G90)</x:f>
      </x:c>
      <x:c r="AA90" s="36" t="str">
        <x:f>IF(OR(Y90="",Z90=""),"",Y90-Z90)</x:f>
      </x:c>
      <x:c r="AB90" s="52" t="str">
        <x:f>IF(OR(Y90="",Z90=""),"",IFERROR(Z90/Y90,0))</x:f>
      </x:c>
      <x:c r="AC90" s="36" t="str">
        <x:f>IF(H90="","",H90)</x:f>
      </x:c>
      <x:c r="AD90" s="132" t="str">
        <x:f>IF(I90="","",I90)</x:f>
      </x:c>
      <x:c r="AE90" s="36" t="str">
        <x:f>IF(J90="","",J90)</x:f>
      </x:c>
      <x:c r="AF90" s="36" t="str">
        <x:f>IF(K90="","",K90)</x:f>
      </x:c>
      <x:c r="AG90" s="36" t="str">
        <x:f>IF(L90="","",L90)</x:f>
      </x:c>
      <x:c r="AH90" s="36" t="str">
        <x:f>IF(M90="","",M90)</x:f>
      </x:c>
      <x:c r="AI90" s="36" t="str">
        <x:f>IF(N90="","",N90)</x:f>
      </x:c>
      <x:c r="AJ90" s="36" t="str">
        <x:f>IF(O90="","",O90)</x:f>
      </x:c>
      <x:c r="AK90" s="36" t="str">
        <x:f>IF(P90="","",P90)</x:f>
      </x:c>
      <x:c r="AL90" s="36" t="str">
        <x:f>IF(R90="","",TEXT(R90,"yyyymmddhhmmss")&amp;"-"&amp;S90&amp;"-"&amp;TEXT(ROW()-4,"0000"))</x:f>
      </x:c>
      <x:c r="AM90" s="36" t="str">
        <x:f>IF(R90="","",IF(T90="KOD HATALI","Öğrenci Kodu Hatalı",IF(OR(V90="",W90="",X90="",Y90="",Z90="",AF90="",AG90="",AJ90="",AK90=""),"Eksik Zorunlu Alan",IF(OR(Y90&lt;0,Z90&lt;0,Z90&gt;Y90),"Soru Sayısı Hatası",IF(AND(AD90&lt;&gt;"",AD90&lt;V90),"Ödev Tarihi Hatası",IF(COUNTIF($AL$5:AL90,AL90)&gt;1,"Mükerrer Form Kaydı","Aktarıma Hazır"))))))</x:f>
      </x:c>
      <x:c r="AN90" s="30"/>
      <x:c r="AO90" s="40"/>
      <x:c r="AP90" s="30"/>
    </x:row>
    <x:row r="91">
      <x:c r="A91" s="158"/>
      <x:c r="B91" s="44"/>
      <x:c r="C91" s="40"/>
      <x:c r="D91" s="30"/>
      <x:c r="E91" s="30"/>
      <x:c r="F91" s="30"/>
      <x:c r="G91" s="30"/>
      <x:c r="H91" s="30"/>
      <x:c r="I91" s="40"/>
      <x:c r="J91" s="30"/>
      <x:c r="K91" s="30"/>
      <x:c r="L91" s="30"/>
      <x:c r="M91" s="30"/>
      <x:c r="N91" s="30"/>
      <x:c r="O91" s="30"/>
      <x:c r="P91" s="30"/>
      <x:c r="R91" s="160" t="str">
        <x:f>IF(A91="","",A91)</x:f>
      </x:c>
      <x:c r="S91" s="126" t="str">
        <x:f>IF(B91="","",B91)</x:f>
      </x:c>
      <x:c r="T91" s="36" t="str">
        <x:f>IF(S91="","",IFERROR(INDEX('02_Öğrenciler'!$B$5:$B$203,MATCH(S91,'02_Öğrenciler'!$A$5:$A$203,0)),"KOD HATALI"))</x:f>
      </x:c>
      <x:c r="U91" s="36" t="str">
        <x:f>IF(S91="","",IFERROR(INDEX('02_Öğrenciler'!$C$5:$C$203,MATCH(S91,'02_Öğrenciler'!$A$5:$A$203,0)),""))</x:f>
      </x:c>
      <x:c r="V91" s="132" t="str">
        <x:f>IF(C91="","",C91)</x:f>
      </x:c>
      <x:c r="W91" s="36" t="str">
        <x:f>IF(D91="","",D91)</x:f>
      </x:c>
      <x:c r="X91" s="36" t="str">
        <x:f>IF(E91="","",E91)</x:f>
      </x:c>
      <x:c r="Y91" s="36" t="str">
        <x:f>IF(F91="","",F91)</x:f>
      </x:c>
      <x:c r="Z91" s="36" t="str">
        <x:f>IF(G91="","",G91)</x:f>
      </x:c>
      <x:c r="AA91" s="36" t="str">
        <x:f>IF(OR(Y91="",Z91=""),"",Y91-Z91)</x:f>
      </x:c>
      <x:c r="AB91" s="52" t="str">
        <x:f>IF(OR(Y91="",Z91=""),"",IFERROR(Z91/Y91,0))</x:f>
      </x:c>
      <x:c r="AC91" s="36" t="str">
        <x:f>IF(H91="","",H91)</x:f>
      </x:c>
      <x:c r="AD91" s="132" t="str">
        <x:f>IF(I91="","",I91)</x:f>
      </x:c>
      <x:c r="AE91" s="36" t="str">
        <x:f>IF(J91="","",J91)</x:f>
      </x:c>
      <x:c r="AF91" s="36" t="str">
        <x:f>IF(K91="","",K91)</x:f>
      </x:c>
      <x:c r="AG91" s="36" t="str">
        <x:f>IF(L91="","",L91)</x:f>
      </x:c>
      <x:c r="AH91" s="36" t="str">
        <x:f>IF(M91="","",M91)</x:f>
      </x:c>
      <x:c r="AI91" s="36" t="str">
        <x:f>IF(N91="","",N91)</x:f>
      </x:c>
      <x:c r="AJ91" s="36" t="str">
        <x:f>IF(O91="","",O91)</x:f>
      </x:c>
      <x:c r="AK91" s="36" t="str">
        <x:f>IF(P91="","",P91)</x:f>
      </x:c>
      <x:c r="AL91" s="36" t="str">
        <x:f>IF(R91="","",TEXT(R91,"yyyymmddhhmmss")&amp;"-"&amp;S91&amp;"-"&amp;TEXT(ROW()-4,"0000"))</x:f>
      </x:c>
      <x:c r="AM91" s="36" t="str">
        <x:f>IF(R91="","",IF(T91="KOD HATALI","Öğrenci Kodu Hatalı",IF(OR(V91="",W91="",X91="",Y91="",Z91="",AF91="",AG91="",AJ91="",AK91=""),"Eksik Zorunlu Alan",IF(OR(Y91&lt;0,Z91&lt;0,Z91&gt;Y91),"Soru Sayısı Hatası",IF(AND(AD91&lt;&gt;"",AD91&lt;V91),"Ödev Tarihi Hatası",IF(COUNTIF($AL$5:AL91,AL91)&gt;1,"Mükerrer Form Kaydı","Aktarıma Hazır"))))))</x:f>
      </x:c>
      <x:c r="AN91" s="30"/>
      <x:c r="AO91" s="40"/>
      <x:c r="AP91" s="30"/>
    </x:row>
    <x:row r="92">
      <x:c r="A92" s="158"/>
      <x:c r="B92" s="44"/>
      <x:c r="C92" s="40"/>
      <x:c r="D92" s="30"/>
      <x:c r="E92" s="30"/>
      <x:c r="F92" s="30"/>
      <x:c r="G92" s="30"/>
      <x:c r="H92" s="30"/>
      <x:c r="I92" s="40"/>
      <x:c r="J92" s="30"/>
      <x:c r="K92" s="30"/>
      <x:c r="L92" s="30"/>
      <x:c r="M92" s="30"/>
      <x:c r="N92" s="30"/>
      <x:c r="O92" s="30"/>
      <x:c r="P92" s="30"/>
      <x:c r="R92" s="160" t="str">
        <x:f>IF(A92="","",A92)</x:f>
      </x:c>
      <x:c r="S92" s="126" t="str">
        <x:f>IF(B92="","",B92)</x:f>
      </x:c>
      <x:c r="T92" s="36" t="str">
        <x:f>IF(S92="","",IFERROR(INDEX('02_Öğrenciler'!$B$5:$B$203,MATCH(S92,'02_Öğrenciler'!$A$5:$A$203,0)),"KOD HATALI"))</x:f>
      </x:c>
      <x:c r="U92" s="36" t="str">
        <x:f>IF(S92="","",IFERROR(INDEX('02_Öğrenciler'!$C$5:$C$203,MATCH(S92,'02_Öğrenciler'!$A$5:$A$203,0)),""))</x:f>
      </x:c>
      <x:c r="V92" s="132" t="str">
        <x:f>IF(C92="","",C92)</x:f>
      </x:c>
      <x:c r="W92" s="36" t="str">
        <x:f>IF(D92="","",D92)</x:f>
      </x:c>
      <x:c r="X92" s="36" t="str">
        <x:f>IF(E92="","",E92)</x:f>
      </x:c>
      <x:c r="Y92" s="36" t="str">
        <x:f>IF(F92="","",F92)</x:f>
      </x:c>
      <x:c r="Z92" s="36" t="str">
        <x:f>IF(G92="","",G92)</x:f>
      </x:c>
      <x:c r="AA92" s="36" t="str">
        <x:f>IF(OR(Y92="",Z92=""),"",Y92-Z92)</x:f>
      </x:c>
      <x:c r="AB92" s="52" t="str">
        <x:f>IF(OR(Y92="",Z92=""),"",IFERROR(Z92/Y92,0))</x:f>
      </x:c>
      <x:c r="AC92" s="36" t="str">
        <x:f>IF(H92="","",H92)</x:f>
      </x:c>
      <x:c r="AD92" s="132" t="str">
        <x:f>IF(I92="","",I92)</x:f>
      </x:c>
      <x:c r="AE92" s="36" t="str">
        <x:f>IF(J92="","",J92)</x:f>
      </x:c>
      <x:c r="AF92" s="36" t="str">
        <x:f>IF(K92="","",K92)</x:f>
      </x:c>
      <x:c r="AG92" s="36" t="str">
        <x:f>IF(L92="","",L92)</x:f>
      </x:c>
      <x:c r="AH92" s="36" t="str">
        <x:f>IF(M92="","",M92)</x:f>
      </x:c>
      <x:c r="AI92" s="36" t="str">
        <x:f>IF(N92="","",N92)</x:f>
      </x:c>
      <x:c r="AJ92" s="36" t="str">
        <x:f>IF(O92="","",O92)</x:f>
      </x:c>
      <x:c r="AK92" s="36" t="str">
        <x:f>IF(P92="","",P92)</x:f>
      </x:c>
      <x:c r="AL92" s="36" t="str">
        <x:f>IF(R92="","",TEXT(R92,"yyyymmddhhmmss")&amp;"-"&amp;S92&amp;"-"&amp;TEXT(ROW()-4,"0000"))</x:f>
      </x:c>
      <x:c r="AM92" s="36" t="str">
        <x:f>IF(R92="","",IF(T92="KOD HATALI","Öğrenci Kodu Hatalı",IF(OR(V92="",W92="",X92="",Y92="",Z92="",AF92="",AG92="",AJ92="",AK92=""),"Eksik Zorunlu Alan",IF(OR(Y92&lt;0,Z92&lt;0,Z92&gt;Y92),"Soru Sayısı Hatası",IF(AND(AD92&lt;&gt;"",AD92&lt;V92),"Ödev Tarihi Hatası",IF(COUNTIF($AL$5:AL92,AL92)&gt;1,"Mükerrer Form Kaydı","Aktarıma Hazır"))))))</x:f>
      </x:c>
      <x:c r="AN92" s="30"/>
      <x:c r="AO92" s="40"/>
      <x:c r="AP92" s="30"/>
    </x:row>
    <x:row r="93">
      <x:c r="A93" s="158"/>
      <x:c r="B93" s="44"/>
      <x:c r="C93" s="40"/>
      <x:c r="D93" s="30"/>
      <x:c r="E93" s="30"/>
      <x:c r="F93" s="30"/>
      <x:c r="G93" s="30"/>
      <x:c r="H93" s="30"/>
      <x:c r="I93" s="40"/>
      <x:c r="J93" s="30"/>
      <x:c r="K93" s="30"/>
      <x:c r="L93" s="30"/>
      <x:c r="M93" s="30"/>
      <x:c r="N93" s="30"/>
      <x:c r="O93" s="30"/>
      <x:c r="P93" s="30"/>
      <x:c r="R93" s="160" t="str">
        <x:f>IF(A93="","",A93)</x:f>
      </x:c>
      <x:c r="S93" s="126" t="str">
        <x:f>IF(B93="","",B93)</x:f>
      </x:c>
      <x:c r="T93" s="36" t="str">
        <x:f>IF(S93="","",IFERROR(INDEX('02_Öğrenciler'!$B$5:$B$203,MATCH(S93,'02_Öğrenciler'!$A$5:$A$203,0)),"KOD HATALI"))</x:f>
      </x:c>
      <x:c r="U93" s="36" t="str">
        <x:f>IF(S93="","",IFERROR(INDEX('02_Öğrenciler'!$C$5:$C$203,MATCH(S93,'02_Öğrenciler'!$A$5:$A$203,0)),""))</x:f>
      </x:c>
      <x:c r="V93" s="132" t="str">
        <x:f>IF(C93="","",C93)</x:f>
      </x:c>
      <x:c r="W93" s="36" t="str">
        <x:f>IF(D93="","",D93)</x:f>
      </x:c>
      <x:c r="X93" s="36" t="str">
        <x:f>IF(E93="","",E93)</x:f>
      </x:c>
      <x:c r="Y93" s="36" t="str">
        <x:f>IF(F93="","",F93)</x:f>
      </x:c>
      <x:c r="Z93" s="36" t="str">
        <x:f>IF(G93="","",G93)</x:f>
      </x:c>
      <x:c r="AA93" s="36" t="str">
        <x:f>IF(OR(Y93="",Z93=""),"",Y93-Z93)</x:f>
      </x:c>
      <x:c r="AB93" s="52" t="str">
        <x:f>IF(OR(Y93="",Z93=""),"",IFERROR(Z93/Y93,0))</x:f>
      </x:c>
      <x:c r="AC93" s="36" t="str">
        <x:f>IF(H93="","",H93)</x:f>
      </x:c>
      <x:c r="AD93" s="132" t="str">
        <x:f>IF(I93="","",I93)</x:f>
      </x:c>
      <x:c r="AE93" s="36" t="str">
        <x:f>IF(J93="","",J93)</x:f>
      </x:c>
      <x:c r="AF93" s="36" t="str">
        <x:f>IF(K93="","",K93)</x:f>
      </x:c>
      <x:c r="AG93" s="36" t="str">
        <x:f>IF(L93="","",L93)</x:f>
      </x:c>
      <x:c r="AH93" s="36" t="str">
        <x:f>IF(M93="","",M93)</x:f>
      </x:c>
      <x:c r="AI93" s="36" t="str">
        <x:f>IF(N93="","",N93)</x:f>
      </x:c>
      <x:c r="AJ93" s="36" t="str">
        <x:f>IF(O93="","",O93)</x:f>
      </x:c>
      <x:c r="AK93" s="36" t="str">
        <x:f>IF(P93="","",P93)</x:f>
      </x:c>
      <x:c r="AL93" s="36" t="str">
        <x:f>IF(R93="","",TEXT(R93,"yyyymmddhhmmss")&amp;"-"&amp;S93&amp;"-"&amp;TEXT(ROW()-4,"0000"))</x:f>
      </x:c>
      <x:c r="AM93" s="36" t="str">
        <x:f>IF(R93="","",IF(T93="KOD HATALI","Öğrenci Kodu Hatalı",IF(OR(V93="",W93="",X93="",Y93="",Z93="",AF93="",AG93="",AJ93="",AK93=""),"Eksik Zorunlu Alan",IF(OR(Y93&lt;0,Z93&lt;0,Z93&gt;Y93),"Soru Sayısı Hatası",IF(AND(AD93&lt;&gt;"",AD93&lt;V93),"Ödev Tarihi Hatası",IF(COUNTIF($AL$5:AL93,AL93)&gt;1,"Mükerrer Form Kaydı","Aktarıma Hazır"))))))</x:f>
      </x:c>
      <x:c r="AN93" s="30"/>
      <x:c r="AO93" s="40"/>
      <x:c r="AP93" s="30"/>
    </x:row>
    <x:row r="94">
      <x:c r="A94" s="158"/>
      <x:c r="B94" s="44"/>
      <x:c r="C94" s="40"/>
      <x:c r="D94" s="30"/>
      <x:c r="E94" s="30"/>
      <x:c r="F94" s="30"/>
      <x:c r="G94" s="30"/>
      <x:c r="H94" s="30"/>
      <x:c r="I94" s="40"/>
      <x:c r="J94" s="30"/>
      <x:c r="K94" s="30"/>
      <x:c r="L94" s="30"/>
      <x:c r="M94" s="30"/>
      <x:c r="N94" s="30"/>
      <x:c r="O94" s="30"/>
      <x:c r="P94" s="30"/>
      <x:c r="R94" s="160" t="str">
        <x:f>IF(A94="","",A94)</x:f>
      </x:c>
      <x:c r="S94" s="126" t="str">
        <x:f>IF(B94="","",B94)</x:f>
      </x:c>
      <x:c r="T94" s="36" t="str">
        <x:f>IF(S94="","",IFERROR(INDEX('02_Öğrenciler'!$B$5:$B$203,MATCH(S94,'02_Öğrenciler'!$A$5:$A$203,0)),"KOD HATALI"))</x:f>
      </x:c>
      <x:c r="U94" s="36" t="str">
        <x:f>IF(S94="","",IFERROR(INDEX('02_Öğrenciler'!$C$5:$C$203,MATCH(S94,'02_Öğrenciler'!$A$5:$A$203,0)),""))</x:f>
      </x:c>
      <x:c r="V94" s="132" t="str">
        <x:f>IF(C94="","",C94)</x:f>
      </x:c>
      <x:c r="W94" s="36" t="str">
        <x:f>IF(D94="","",D94)</x:f>
      </x:c>
      <x:c r="X94" s="36" t="str">
        <x:f>IF(E94="","",E94)</x:f>
      </x:c>
      <x:c r="Y94" s="36" t="str">
        <x:f>IF(F94="","",F94)</x:f>
      </x:c>
      <x:c r="Z94" s="36" t="str">
        <x:f>IF(G94="","",G94)</x:f>
      </x:c>
      <x:c r="AA94" s="36" t="str">
        <x:f>IF(OR(Y94="",Z94=""),"",Y94-Z94)</x:f>
      </x:c>
      <x:c r="AB94" s="52" t="str">
        <x:f>IF(OR(Y94="",Z94=""),"",IFERROR(Z94/Y94,0))</x:f>
      </x:c>
      <x:c r="AC94" s="36" t="str">
        <x:f>IF(H94="","",H94)</x:f>
      </x:c>
      <x:c r="AD94" s="132" t="str">
        <x:f>IF(I94="","",I94)</x:f>
      </x:c>
      <x:c r="AE94" s="36" t="str">
        <x:f>IF(J94="","",J94)</x:f>
      </x:c>
      <x:c r="AF94" s="36" t="str">
        <x:f>IF(K94="","",K94)</x:f>
      </x:c>
      <x:c r="AG94" s="36" t="str">
        <x:f>IF(L94="","",L94)</x:f>
      </x:c>
      <x:c r="AH94" s="36" t="str">
        <x:f>IF(M94="","",M94)</x:f>
      </x:c>
      <x:c r="AI94" s="36" t="str">
        <x:f>IF(N94="","",N94)</x:f>
      </x:c>
      <x:c r="AJ94" s="36" t="str">
        <x:f>IF(O94="","",O94)</x:f>
      </x:c>
      <x:c r="AK94" s="36" t="str">
        <x:f>IF(P94="","",P94)</x:f>
      </x:c>
      <x:c r="AL94" s="36" t="str">
        <x:f>IF(R94="","",TEXT(R94,"yyyymmddhhmmss")&amp;"-"&amp;S94&amp;"-"&amp;TEXT(ROW()-4,"0000"))</x:f>
      </x:c>
      <x:c r="AM94" s="36" t="str">
        <x:f>IF(R94="","",IF(T94="KOD HATALI","Öğrenci Kodu Hatalı",IF(OR(V94="",W94="",X94="",Y94="",Z94="",AF94="",AG94="",AJ94="",AK94=""),"Eksik Zorunlu Alan",IF(OR(Y94&lt;0,Z94&lt;0,Z94&gt;Y94),"Soru Sayısı Hatası",IF(AND(AD94&lt;&gt;"",AD94&lt;V94),"Ödev Tarihi Hatası",IF(COUNTIF($AL$5:AL94,AL94)&gt;1,"Mükerrer Form Kaydı","Aktarıma Hazır"))))))</x:f>
      </x:c>
      <x:c r="AN94" s="30"/>
      <x:c r="AO94" s="40"/>
      <x:c r="AP94" s="30"/>
    </x:row>
    <x:row r="95">
      <x:c r="A95" s="158"/>
      <x:c r="B95" s="44"/>
      <x:c r="C95" s="40"/>
      <x:c r="D95" s="30"/>
      <x:c r="E95" s="30"/>
      <x:c r="F95" s="30"/>
      <x:c r="G95" s="30"/>
      <x:c r="H95" s="30"/>
      <x:c r="I95" s="40"/>
      <x:c r="J95" s="30"/>
      <x:c r="K95" s="30"/>
      <x:c r="L95" s="30"/>
      <x:c r="M95" s="30"/>
      <x:c r="N95" s="30"/>
      <x:c r="O95" s="30"/>
      <x:c r="P95" s="30"/>
      <x:c r="R95" s="160" t="str">
        <x:f>IF(A95="","",A95)</x:f>
      </x:c>
      <x:c r="S95" s="126" t="str">
        <x:f>IF(B95="","",B95)</x:f>
      </x:c>
      <x:c r="T95" s="36" t="str">
        <x:f>IF(S95="","",IFERROR(INDEX('02_Öğrenciler'!$B$5:$B$203,MATCH(S95,'02_Öğrenciler'!$A$5:$A$203,0)),"KOD HATALI"))</x:f>
      </x:c>
      <x:c r="U95" s="36" t="str">
        <x:f>IF(S95="","",IFERROR(INDEX('02_Öğrenciler'!$C$5:$C$203,MATCH(S95,'02_Öğrenciler'!$A$5:$A$203,0)),""))</x:f>
      </x:c>
      <x:c r="V95" s="132" t="str">
        <x:f>IF(C95="","",C95)</x:f>
      </x:c>
      <x:c r="W95" s="36" t="str">
        <x:f>IF(D95="","",D95)</x:f>
      </x:c>
      <x:c r="X95" s="36" t="str">
        <x:f>IF(E95="","",E95)</x:f>
      </x:c>
      <x:c r="Y95" s="36" t="str">
        <x:f>IF(F95="","",F95)</x:f>
      </x:c>
      <x:c r="Z95" s="36" t="str">
        <x:f>IF(G95="","",G95)</x:f>
      </x:c>
      <x:c r="AA95" s="36" t="str">
        <x:f>IF(OR(Y95="",Z95=""),"",Y95-Z95)</x:f>
      </x:c>
      <x:c r="AB95" s="52" t="str">
        <x:f>IF(OR(Y95="",Z95=""),"",IFERROR(Z95/Y95,0))</x:f>
      </x:c>
      <x:c r="AC95" s="36" t="str">
        <x:f>IF(H95="","",H95)</x:f>
      </x:c>
      <x:c r="AD95" s="132" t="str">
        <x:f>IF(I95="","",I95)</x:f>
      </x:c>
      <x:c r="AE95" s="36" t="str">
        <x:f>IF(J95="","",J95)</x:f>
      </x:c>
      <x:c r="AF95" s="36" t="str">
        <x:f>IF(K95="","",K95)</x:f>
      </x:c>
      <x:c r="AG95" s="36" t="str">
        <x:f>IF(L95="","",L95)</x:f>
      </x:c>
      <x:c r="AH95" s="36" t="str">
        <x:f>IF(M95="","",M95)</x:f>
      </x:c>
      <x:c r="AI95" s="36" t="str">
        <x:f>IF(N95="","",N95)</x:f>
      </x:c>
      <x:c r="AJ95" s="36" t="str">
        <x:f>IF(O95="","",O95)</x:f>
      </x:c>
      <x:c r="AK95" s="36" t="str">
        <x:f>IF(P95="","",P95)</x:f>
      </x:c>
      <x:c r="AL95" s="36" t="str">
        <x:f>IF(R95="","",TEXT(R95,"yyyymmddhhmmss")&amp;"-"&amp;S95&amp;"-"&amp;TEXT(ROW()-4,"0000"))</x:f>
      </x:c>
      <x:c r="AM95" s="36" t="str">
        <x:f>IF(R95="","",IF(T95="KOD HATALI","Öğrenci Kodu Hatalı",IF(OR(V95="",W95="",X95="",Y95="",Z95="",AF95="",AG95="",AJ95="",AK95=""),"Eksik Zorunlu Alan",IF(OR(Y95&lt;0,Z95&lt;0,Z95&gt;Y95),"Soru Sayısı Hatası",IF(AND(AD95&lt;&gt;"",AD95&lt;V95),"Ödev Tarihi Hatası",IF(COUNTIF($AL$5:AL95,AL95)&gt;1,"Mükerrer Form Kaydı","Aktarıma Hazır"))))))</x:f>
      </x:c>
      <x:c r="AN95" s="30"/>
      <x:c r="AO95" s="40"/>
      <x:c r="AP95" s="30"/>
    </x:row>
    <x:row r="96">
      <x:c r="A96" s="158"/>
      <x:c r="B96" s="44"/>
      <x:c r="C96" s="40"/>
      <x:c r="D96" s="30"/>
      <x:c r="E96" s="30"/>
      <x:c r="F96" s="30"/>
      <x:c r="G96" s="30"/>
      <x:c r="H96" s="30"/>
      <x:c r="I96" s="40"/>
      <x:c r="J96" s="30"/>
      <x:c r="K96" s="30"/>
      <x:c r="L96" s="30"/>
      <x:c r="M96" s="30"/>
      <x:c r="N96" s="30"/>
      <x:c r="O96" s="30"/>
      <x:c r="P96" s="30"/>
      <x:c r="R96" s="160" t="str">
        <x:f>IF(A96="","",A96)</x:f>
      </x:c>
      <x:c r="S96" s="126" t="str">
        <x:f>IF(B96="","",B96)</x:f>
      </x:c>
      <x:c r="T96" s="36" t="str">
        <x:f>IF(S96="","",IFERROR(INDEX('02_Öğrenciler'!$B$5:$B$203,MATCH(S96,'02_Öğrenciler'!$A$5:$A$203,0)),"KOD HATALI"))</x:f>
      </x:c>
      <x:c r="U96" s="36" t="str">
        <x:f>IF(S96="","",IFERROR(INDEX('02_Öğrenciler'!$C$5:$C$203,MATCH(S96,'02_Öğrenciler'!$A$5:$A$203,0)),""))</x:f>
      </x:c>
      <x:c r="V96" s="132" t="str">
        <x:f>IF(C96="","",C96)</x:f>
      </x:c>
      <x:c r="W96" s="36" t="str">
        <x:f>IF(D96="","",D96)</x:f>
      </x:c>
      <x:c r="X96" s="36" t="str">
        <x:f>IF(E96="","",E96)</x:f>
      </x:c>
      <x:c r="Y96" s="36" t="str">
        <x:f>IF(F96="","",F96)</x:f>
      </x:c>
      <x:c r="Z96" s="36" t="str">
        <x:f>IF(G96="","",G96)</x:f>
      </x:c>
      <x:c r="AA96" s="36" t="str">
        <x:f>IF(OR(Y96="",Z96=""),"",Y96-Z96)</x:f>
      </x:c>
      <x:c r="AB96" s="52" t="str">
        <x:f>IF(OR(Y96="",Z96=""),"",IFERROR(Z96/Y96,0))</x:f>
      </x:c>
      <x:c r="AC96" s="36" t="str">
        <x:f>IF(H96="","",H96)</x:f>
      </x:c>
      <x:c r="AD96" s="132" t="str">
        <x:f>IF(I96="","",I96)</x:f>
      </x:c>
      <x:c r="AE96" s="36" t="str">
        <x:f>IF(J96="","",J96)</x:f>
      </x:c>
      <x:c r="AF96" s="36" t="str">
        <x:f>IF(K96="","",K96)</x:f>
      </x:c>
      <x:c r="AG96" s="36" t="str">
        <x:f>IF(L96="","",L96)</x:f>
      </x:c>
      <x:c r="AH96" s="36" t="str">
        <x:f>IF(M96="","",M96)</x:f>
      </x:c>
      <x:c r="AI96" s="36" t="str">
        <x:f>IF(N96="","",N96)</x:f>
      </x:c>
      <x:c r="AJ96" s="36" t="str">
        <x:f>IF(O96="","",O96)</x:f>
      </x:c>
      <x:c r="AK96" s="36" t="str">
        <x:f>IF(P96="","",P96)</x:f>
      </x:c>
      <x:c r="AL96" s="36" t="str">
        <x:f>IF(R96="","",TEXT(R96,"yyyymmddhhmmss")&amp;"-"&amp;S96&amp;"-"&amp;TEXT(ROW()-4,"0000"))</x:f>
      </x:c>
      <x:c r="AM96" s="36" t="str">
        <x:f>IF(R96="","",IF(T96="KOD HATALI","Öğrenci Kodu Hatalı",IF(OR(V96="",W96="",X96="",Y96="",Z96="",AF96="",AG96="",AJ96="",AK96=""),"Eksik Zorunlu Alan",IF(OR(Y96&lt;0,Z96&lt;0,Z96&gt;Y96),"Soru Sayısı Hatası",IF(AND(AD96&lt;&gt;"",AD96&lt;V96),"Ödev Tarihi Hatası",IF(COUNTIF($AL$5:AL96,AL96)&gt;1,"Mükerrer Form Kaydı","Aktarıma Hazır"))))))</x:f>
      </x:c>
      <x:c r="AN96" s="30"/>
      <x:c r="AO96" s="40"/>
      <x:c r="AP96" s="30"/>
    </x:row>
    <x:row r="97">
      <x:c r="A97" s="158"/>
      <x:c r="B97" s="44"/>
      <x:c r="C97" s="40"/>
      <x:c r="D97" s="30"/>
      <x:c r="E97" s="30"/>
      <x:c r="F97" s="30"/>
      <x:c r="G97" s="30"/>
      <x:c r="H97" s="30"/>
      <x:c r="I97" s="40"/>
      <x:c r="J97" s="30"/>
      <x:c r="K97" s="30"/>
      <x:c r="L97" s="30"/>
      <x:c r="M97" s="30"/>
      <x:c r="N97" s="30"/>
      <x:c r="O97" s="30"/>
      <x:c r="P97" s="30"/>
      <x:c r="R97" s="160" t="str">
        <x:f>IF(A97="","",A97)</x:f>
      </x:c>
      <x:c r="S97" s="126" t="str">
        <x:f>IF(B97="","",B97)</x:f>
      </x:c>
      <x:c r="T97" s="36" t="str">
        <x:f>IF(S97="","",IFERROR(INDEX('02_Öğrenciler'!$B$5:$B$203,MATCH(S97,'02_Öğrenciler'!$A$5:$A$203,0)),"KOD HATALI"))</x:f>
      </x:c>
      <x:c r="U97" s="36" t="str">
        <x:f>IF(S97="","",IFERROR(INDEX('02_Öğrenciler'!$C$5:$C$203,MATCH(S97,'02_Öğrenciler'!$A$5:$A$203,0)),""))</x:f>
      </x:c>
      <x:c r="V97" s="132" t="str">
        <x:f>IF(C97="","",C97)</x:f>
      </x:c>
      <x:c r="W97" s="36" t="str">
        <x:f>IF(D97="","",D97)</x:f>
      </x:c>
      <x:c r="X97" s="36" t="str">
        <x:f>IF(E97="","",E97)</x:f>
      </x:c>
      <x:c r="Y97" s="36" t="str">
        <x:f>IF(F97="","",F97)</x:f>
      </x:c>
      <x:c r="Z97" s="36" t="str">
        <x:f>IF(G97="","",G97)</x:f>
      </x:c>
      <x:c r="AA97" s="36" t="str">
        <x:f>IF(OR(Y97="",Z97=""),"",Y97-Z97)</x:f>
      </x:c>
      <x:c r="AB97" s="52" t="str">
        <x:f>IF(OR(Y97="",Z97=""),"",IFERROR(Z97/Y97,0))</x:f>
      </x:c>
      <x:c r="AC97" s="36" t="str">
        <x:f>IF(H97="","",H97)</x:f>
      </x:c>
      <x:c r="AD97" s="132" t="str">
        <x:f>IF(I97="","",I97)</x:f>
      </x:c>
      <x:c r="AE97" s="36" t="str">
        <x:f>IF(J97="","",J97)</x:f>
      </x:c>
      <x:c r="AF97" s="36" t="str">
        <x:f>IF(K97="","",K97)</x:f>
      </x:c>
      <x:c r="AG97" s="36" t="str">
        <x:f>IF(L97="","",L97)</x:f>
      </x:c>
      <x:c r="AH97" s="36" t="str">
        <x:f>IF(M97="","",M97)</x:f>
      </x:c>
      <x:c r="AI97" s="36" t="str">
        <x:f>IF(N97="","",N97)</x:f>
      </x:c>
      <x:c r="AJ97" s="36" t="str">
        <x:f>IF(O97="","",O97)</x:f>
      </x:c>
      <x:c r="AK97" s="36" t="str">
        <x:f>IF(P97="","",P97)</x:f>
      </x:c>
      <x:c r="AL97" s="36" t="str">
        <x:f>IF(R97="","",TEXT(R97,"yyyymmddhhmmss")&amp;"-"&amp;S97&amp;"-"&amp;TEXT(ROW()-4,"0000"))</x:f>
      </x:c>
      <x:c r="AM97" s="36" t="str">
        <x:f>IF(R97="","",IF(T97="KOD HATALI","Öğrenci Kodu Hatalı",IF(OR(V97="",W97="",X97="",Y97="",Z97="",AF97="",AG97="",AJ97="",AK97=""),"Eksik Zorunlu Alan",IF(OR(Y97&lt;0,Z97&lt;0,Z97&gt;Y97),"Soru Sayısı Hatası",IF(AND(AD97&lt;&gt;"",AD97&lt;V97),"Ödev Tarihi Hatası",IF(COUNTIF($AL$5:AL97,AL97)&gt;1,"Mükerrer Form Kaydı","Aktarıma Hazır"))))))</x:f>
      </x:c>
      <x:c r="AN97" s="30"/>
      <x:c r="AO97" s="40"/>
      <x:c r="AP97" s="30"/>
    </x:row>
    <x:row r="98">
      <x:c r="A98" s="158"/>
      <x:c r="B98" s="44"/>
      <x:c r="C98" s="40"/>
      <x:c r="D98" s="30"/>
      <x:c r="E98" s="30"/>
      <x:c r="F98" s="30"/>
      <x:c r="G98" s="30"/>
      <x:c r="H98" s="30"/>
      <x:c r="I98" s="40"/>
      <x:c r="J98" s="30"/>
      <x:c r="K98" s="30"/>
      <x:c r="L98" s="30"/>
      <x:c r="M98" s="30"/>
      <x:c r="N98" s="30"/>
      <x:c r="O98" s="30"/>
      <x:c r="P98" s="30"/>
      <x:c r="R98" s="160" t="str">
        <x:f>IF(A98="","",A98)</x:f>
      </x:c>
      <x:c r="S98" s="126" t="str">
        <x:f>IF(B98="","",B98)</x:f>
      </x:c>
      <x:c r="T98" s="36" t="str">
        <x:f>IF(S98="","",IFERROR(INDEX('02_Öğrenciler'!$B$5:$B$203,MATCH(S98,'02_Öğrenciler'!$A$5:$A$203,0)),"KOD HATALI"))</x:f>
      </x:c>
      <x:c r="U98" s="36" t="str">
        <x:f>IF(S98="","",IFERROR(INDEX('02_Öğrenciler'!$C$5:$C$203,MATCH(S98,'02_Öğrenciler'!$A$5:$A$203,0)),""))</x:f>
      </x:c>
      <x:c r="V98" s="132" t="str">
        <x:f>IF(C98="","",C98)</x:f>
      </x:c>
      <x:c r="W98" s="36" t="str">
        <x:f>IF(D98="","",D98)</x:f>
      </x:c>
      <x:c r="X98" s="36" t="str">
        <x:f>IF(E98="","",E98)</x:f>
      </x:c>
      <x:c r="Y98" s="36" t="str">
        <x:f>IF(F98="","",F98)</x:f>
      </x:c>
      <x:c r="Z98" s="36" t="str">
        <x:f>IF(G98="","",G98)</x:f>
      </x:c>
      <x:c r="AA98" s="36" t="str">
        <x:f>IF(OR(Y98="",Z98=""),"",Y98-Z98)</x:f>
      </x:c>
      <x:c r="AB98" s="52" t="str">
        <x:f>IF(OR(Y98="",Z98=""),"",IFERROR(Z98/Y98,0))</x:f>
      </x:c>
      <x:c r="AC98" s="36" t="str">
        <x:f>IF(H98="","",H98)</x:f>
      </x:c>
      <x:c r="AD98" s="132" t="str">
        <x:f>IF(I98="","",I98)</x:f>
      </x:c>
      <x:c r="AE98" s="36" t="str">
        <x:f>IF(J98="","",J98)</x:f>
      </x:c>
      <x:c r="AF98" s="36" t="str">
        <x:f>IF(K98="","",K98)</x:f>
      </x:c>
      <x:c r="AG98" s="36" t="str">
        <x:f>IF(L98="","",L98)</x:f>
      </x:c>
      <x:c r="AH98" s="36" t="str">
        <x:f>IF(M98="","",M98)</x:f>
      </x:c>
      <x:c r="AI98" s="36" t="str">
        <x:f>IF(N98="","",N98)</x:f>
      </x:c>
      <x:c r="AJ98" s="36" t="str">
        <x:f>IF(O98="","",O98)</x:f>
      </x:c>
      <x:c r="AK98" s="36" t="str">
        <x:f>IF(P98="","",P98)</x:f>
      </x:c>
      <x:c r="AL98" s="36" t="str">
        <x:f>IF(R98="","",TEXT(R98,"yyyymmddhhmmss")&amp;"-"&amp;S98&amp;"-"&amp;TEXT(ROW()-4,"0000"))</x:f>
      </x:c>
      <x:c r="AM98" s="36" t="str">
        <x:f>IF(R98="","",IF(T98="KOD HATALI","Öğrenci Kodu Hatalı",IF(OR(V98="",W98="",X98="",Y98="",Z98="",AF98="",AG98="",AJ98="",AK98=""),"Eksik Zorunlu Alan",IF(OR(Y98&lt;0,Z98&lt;0,Z98&gt;Y98),"Soru Sayısı Hatası",IF(AND(AD98&lt;&gt;"",AD98&lt;V98),"Ödev Tarihi Hatası",IF(COUNTIF($AL$5:AL98,AL98)&gt;1,"Mükerrer Form Kaydı","Aktarıma Hazır"))))))</x:f>
      </x:c>
      <x:c r="AN98" s="30"/>
      <x:c r="AO98" s="40"/>
      <x:c r="AP98" s="30"/>
    </x:row>
    <x:row r="99">
      <x:c r="A99" s="158"/>
      <x:c r="B99" s="44"/>
      <x:c r="C99" s="40"/>
      <x:c r="D99" s="30"/>
      <x:c r="E99" s="30"/>
      <x:c r="F99" s="30"/>
      <x:c r="G99" s="30"/>
      <x:c r="H99" s="30"/>
      <x:c r="I99" s="40"/>
      <x:c r="J99" s="30"/>
      <x:c r="K99" s="30"/>
      <x:c r="L99" s="30"/>
      <x:c r="M99" s="30"/>
      <x:c r="N99" s="30"/>
      <x:c r="O99" s="30"/>
      <x:c r="P99" s="30"/>
      <x:c r="R99" s="160" t="str">
        <x:f>IF(A99="","",A99)</x:f>
      </x:c>
      <x:c r="S99" s="126" t="str">
        <x:f>IF(B99="","",B99)</x:f>
      </x:c>
      <x:c r="T99" s="36" t="str">
        <x:f>IF(S99="","",IFERROR(INDEX('02_Öğrenciler'!$B$5:$B$203,MATCH(S99,'02_Öğrenciler'!$A$5:$A$203,0)),"KOD HATALI"))</x:f>
      </x:c>
      <x:c r="U99" s="36" t="str">
        <x:f>IF(S99="","",IFERROR(INDEX('02_Öğrenciler'!$C$5:$C$203,MATCH(S99,'02_Öğrenciler'!$A$5:$A$203,0)),""))</x:f>
      </x:c>
      <x:c r="V99" s="132" t="str">
        <x:f>IF(C99="","",C99)</x:f>
      </x:c>
      <x:c r="W99" s="36" t="str">
        <x:f>IF(D99="","",D99)</x:f>
      </x:c>
      <x:c r="X99" s="36" t="str">
        <x:f>IF(E99="","",E99)</x:f>
      </x:c>
      <x:c r="Y99" s="36" t="str">
        <x:f>IF(F99="","",F99)</x:f>
      </x:c>
      <x:c r="Z99" s="36" t="str">
        <x:f>IF(G99="","",G99)</x:f>
      </x:c>
      <x:c r="AA99" s="36" t="str">
        <x:f>IF(OR(Y99="",Z99=""),"",Y99-Z99)</x:f>
      </x:c>
      <x:c r="AB99" s="52" t="str">
        <x:f>IF(OR(Y99="",Z99=""),"",IFERROR(Z99/Y99,0))</x:f>
      </x:c>
      <x:c r="AC99" s="36" t="str">
        <x:f>IF(H99="","",H99)</x:f>
      </x:c>
      <x:c r="AD99" s="132" t="str">
        <x:f>IF(I99="","",I99)</x:f>
      </x:c>
      <x:c r="AE99" s="36" t="str">
        <x:f>IF(J99="","",J99)</x:f>
      </x:c>
      <x:c r="AF99" s="36" t="str">
        <x:f>IF(K99="","",K99)</x:f>
      </x:c>
      <x:c r="AG99" s="36" t="str">
        <x:f>IF(L99="","",L99)</x:f>
      </x:c>
      <x:c r="AH99" s="36" t="str">
        <x:f>IF(M99="","",M99)</x:f>
      </x:c>
      <x:c r="AI99" s="36" t="str">
        <x:f>IF(N99="","",N99)</x:f>
      </x:c>
      <x:c r="AJ99" s="36" t="str">
        <x:f>IF(O99="","",O99)</x:f>
      </x:c>
      <x:c r="AK99" s="36" t="str">
        <x:f>IF(P99="","",P99)</x:f>
      </x:c>
      <x:c r="AL99" s="36" t="str">
        <x:f>IF(R99="","",TEXT(R99,"yyyymmddhhmmss")&amp;"-"&amp;S99&amp;"-"&amp;TEXT(ROW()-4,"0000"))</x:f>
      </x:c>
      <x:c r="AM99" s="36" t="str">
        <x:f>IF(R99="","",IF(T99="KOD HATALI","Öğrenci Kodu Hatalı",IF(OR(V99="",W99="",X99="",Y99="",Z99="",AF99="",AG99="",AJ99="",AK99=""),"Eksik Zorunlu Alan",IF(OR(Y99&lt;0,Z99&lt;0,Z99&gt;Y99),"Soru Sayısı Hatası",IF(AND(AD99&lt;&gt;"",AD99&lt;V99),"Ödev Tarihi Hatası",IF(COUNTIF($AL$5:AL99,AL99)&gt;1,"Mükerrer Form Kaydı","Aktarıma Hazır"))))))</x:f>
      </x:c>
      <x:c r="AN99" s="30"/>
      <x:c r="AO99" s="40"/>
      <x:c r="AP99" s="30"/>
    </x:row>
    <x:row r="100">
      <x:c r="A100" s="158"/>
      <x:c r="B100" s="44"/>
      <x:c r="C100" s="40"/>
      <x:c r="D100" s="30"/>
      <x:c r="E100" s="30"/>
      <x:c r="F100" s="30"/>
      <x:c r="G100" s="30"/>
      <x:c r="H100" s="30"/>
      <x:c r="I100" s="40"/>
      <x:c r="J100" s="30"/>
      <x:c r="K100" s="30"/>
      <x:c r="L100" s="30"/>
      <x:c r="M100" s="30"/>
      <x:c r="N100" s="30"/>
      <x:c r="O100" s="30"/>
      <x:c r="P100" s="30"/>
      <x:c r="R100" s="160" t="str">
        <x:f>IF(A100="","",A100)</x:f>
      </x:c>
      <x:c r="S100" s="126" t="str">
        <x:f>IF(B100="","",B100)</x:f>
      </x:c>
      <x:c r="T100" s="36" t="str">
        <x:f>IF(S100="","",IFERROR(INDEX('02_Öğrenciler'!$B$5:$B$203,MATCH(S100,'02_Öğrenciler'!$A$5:$A$203,0)),"KOD HATALI"))</x:f>
      </x:c>
      <x:c r="U100" s="36" t="str">
        <x:f>IF(S100="","",IFERROR(INDEX('02_Öğrenciler'!$C$5:$C$203,MATCH(S100,'02_Öğrenciler'!$A$5:$A$203,0)),""))</x:f>
      </x:c>
      <x:c r="V100" s="132" t="str">
        <x:f>IF(C100="","",C100)</x:f>
      </x:c>
      <x:c r="W100" s="36" t="str">
        <x:f>IF(D100="","",D100)</x:f>
      </x:c>
      <x:c r="X100" s="36" t="str">
        <x:f>IF(E100="","",E100)</x:f>
      </x:c>
      <x:c r="Y100" s="36" t="str">
        <x:f>IF(F100="","",F100)</x:f>
      </x:c>
      <x:c r="Z100" s="36" t="str">
        <x:f>IF(G100="","",G100)</x:f>
      </x:c>
      <x:c r="AA100" s="36" t="str">
        <x:f>IF(OR(Y100="",Z100=""),"",Y100-Z100)</x:f>
      </x:c>
      <x:c r="AB100" s="52" t="str">
        <x:f>IF(OR(Y100="",Z100=""),"",IFERROR(Z100/Y100,0))</x:f>
      </x:c>
      <x:c r="AC100" s="36" t="str">
        <x:f>IF(H100="","",H100)</x:f>
      </x:c>
      <x:c r="AD100" s="132" t="str">
        <x:f>IF(I100="","",I100)</x:f>
      </x:c>
      <x:c r="AE100" s="36" t="str">
        <x:f>IF(J100="","",J100)</x:f>
      </x:c>
      <x:c r="AF100" s="36" t="str">
        <x:f>IF(K100="","",K100)</x:f>
      </x:c>
      <x:c r="AG100" s="36" t="str">
        <x:f>IF(L100="","",L100)</x:f>
      </x:c>
      <x:c r="AH100" s="36" t="str">
        <x:f>IF(M100="","",M100)</x:f>
      </x:c>
      <x:c r="AI100" s="36" t="str">
        <x:f>IF(N100="","",N100)</x:f>
      </x:c>
      <x:c r="AJ100" s="36" t="str">
        <x:f>IF(O100="","",O100)</x:f>
      </x:c>
      <x:c r="AK100" s="36" t="str">
        <x:f>IF(P100="","",P100)</x:f>
      </x:c>
      <x:c r="AL100" s="36" t="str">
        <x:f>IF(R100="","",TEXT(R100,"yyyymmddhhmmss")&amp;"-"&amp;S100&amp;"-"&amp;TEXT(ROW()-4,"0000"))</x:f>
      </x:c>
      <x:c r="AM100" s="36" t="str">
        <x:f>IF(R100="","",IF(T100="KOD HATALI","Öğrenci Kodu Hatalı",IF(OR(V100="",W100="",X100="",Y100="",Z100="",AF100="",AG100="",AJ100="",AK100=""),"Eksik Zorunlu Alan",IF(OR(Y100&lt;0,Z100&lt;0,Z100&gt;Y100),"Soru Sayısı Hatası",IF(AND(AD100&lt;&gt;"",AD100&lt;V100),"Ödev Tarihi Hatası",IF(COUNTIF($AL$5:AL100,AL100)&gt;1,"Mükerrer Form Kaydı","Aktarıma Hazır"))))))</x:f>
      </x:c>
      <x:c r="AN100" s="30"/>
      <x:c r="AO100" s="40"/>
      <x:c r="AP100" s="30"/>
    </x:row>
    <x:row r="101">
      <x:c r="A101" s="158"/>
      <x:c r="B101" s="44"/>
      <x:c r="C101" s="40"/>
      <x:c r="D101" s="30"/>
      <x:c r="E101" s="30"/>
      <x:c r="F101" s="30"/>
      <x:c r="G101" s="30"/>
      <x:c r="H101" s="30"/>
      <x:c r="I101" s="40"/>
      <x:c r="J101" s="30"/>
      <x:c r="K101" s="30"/>
      <x:c r="L101" s="30"/>
      <x:c r="M101" s="30"/>
      <x:c r="N101" s="30"/>
      <x:c r="O101" s="30"/>
      <x:c r="P101" s="30"/>
      <x:c r="R101" s="160" t="str">
        <x:f>IF(A101="","",A101)</x:f>
      </x:c>
      <x:c r="S101" s="126" t="str">
        <x:f>IF(B101="","",B101)</x:f>
      </x:c>
      <x:c r="T101" s="36" t="str">
        <x:f>IF(S101="","",IFERROR(INDEX('02_Öğrenciler'!$B$5:$B$203,MATCH(S101,'02_Öğrenciler'!$A$5:$A$203,0)),"KOD HATALI"))</x:f>
      </x:c>
      <x:c r="U101" s="36" t="str">
        <x:f>IF(S101="","",IFERROR(INDEX('02_Öğrenciler'!$C$5:$C$203,MATCH(S101,'02_Öğrenciler'!$A$5:$A$203,0)),""))</x:f>
      </x:c>
      <x:c r="V101" s="132" t="str">
        <x:f>IF(C101="","",C101)</x:f>
      </x:c>
      <x:c r="W101" s="36" t="str">
        <x:f>IF(D101="","",D101)</x:f>
      </x:c>
      <x:c r="X101" s="36" t="str">
        <x:f>IF(E101="","",E101)</x:f>
      </x:c>
      <x:c r="Y101" s="36" t="str">
        <x:f>IF(F101="","",F101)</x:f>
      </x:c>
      <x:c r="Z101" s="36" t="str">
        <x:f>IF(G101="","",G101)</x:f>
      </x:c>
      <x:c r="AA101" s="36" t="str">
        <x:f>IF(OR(Y101="",Z101=""),"",Y101-Z101)</x:f>
      </x:c>
      <x:c r="AB101" s="52" t="str">
        <x:f>IF(OR(Y101="",Z101=""),"",IFERROR(Z101/Y101,0))</x:f>
      </x:c>
      <x:c r="AC101" s="36" t="str">
        <x:f>IF(H101="","",H101)</x:f>
      </x:c>
      <x:c r="AD101" s="132" t="str">
        <x:f>IF(I101="","",I101)</x:f>
      </x:c>
      <x:c r="AE101" s="36" t="str">
        <x:f>IF(J101="","",J101)</x:f>
      </x:c>
      <x:c r="AF101" s="36" t="str">
        <x:f>IF(K101="","",K101)</x:f>
      </x:c>
      <x:c r="AG101" s="36" t="str">
        <x:f>IF(L101="","",L101)</x:f>
      </x:c>
      <x:c r="AH101" s="36" t="str">
        <x:f>IF(M101="","",M101)</x:f>
      </x:c>
      <x:c r="AI101" s="36" t="str">
        <x:f>IF(N101="","",N101)</x:f>
      </x:c>
      <x:c r="AJ101" s="36" t="str">
        <x:f>IF(O101="","",O101)</x:f>
      </x:c>
      <x:c r="AK101" s="36" t="str">
        <x:f>IF(P101="","",P101)</x:f>
      </x:c>
      <x:c r="AL101" s="36" t="str">
        <x:f>IF(R101="","",TEXT(R101,"yyyymmddhhmmss")&amp;"-"&amp;S101&amp;"-"&amp;TEXT(ROW()-4,"0000"))</x:f>
      </x:c>
      <x:c r="AM101" s="36" t="str">
        <x:f>IF(R101="","",IF(T101="KOD HATALI","Öğrenci Kodu Hatalı",IF(OR(V101="",W101="",X101="",Y101="",Z101="",AF101="",AG101="",AJ101="",AK101=""),"Eksik Zorunlu Alan",IF(OR(Y101&lt;0,Z101&lt;0,Z101&gt;Y101),"Soru Sayısı Hatası",IF(AND(AD101&lt;&gt;"",AD101&lt;V101),"Ödev Tarihi Hatası",IF(COUNTIF($AL$5:AL101,AL101)&gt;1,"Mükerrer Form Kaydı","Aktarıma Hazır"))))))</x:f>
      </x:c>
      <x:c r="AN101" s="30"/>
      <x:c r="AO101" s="40"/>
      <x:c r="AP101" s="30"/>
    </x:row>
    <x:row r="102">
      <x:c r="A102" s="158"/>
      <x:c r="B102" s="44"/>
      <x:c r="C102" s="40"/>
      <x:c r="D102" s="30"/>
      <x:c r="E102" s="30"/>
      <x:c r="F102" s="30"/>
      <x:c r="G102" s="30"/>
      <x:c r="H102" s="30"/>
      <x:c r="I102" s="40"/>
      <x:c r="J102" s="30"/>
      <x:c r="K102" s="30"/>
      <x:c r="L102" s="30"/>
      <x:c r="M102" s="30"/>
      <x:c r="N102" s="30"/>
      <x:c r="O102" s="30"/>
      <x:c r="P102" s="30"/>
      <x:c r="R102" s="160" t="str">
        <x:f>IF(A102="","",A102)</x:f>
      </x:c>
      <x:c r="S102" s="126" t="str">
        <x:f>IF(B102="","",B102)</x:f>
      </x:c>
      <x:c r="T102" s="36" t="str">
        <x:f>IF(S102="","",IFERROR(INDEX('02_Öğrenciler'!$B$5:$B$203,MATCH(S102,'02_Öğrenciler'!$A$5:$A$203,0)),"KOD HATALI"))</x:f>
      </x:c>
      <x:c r="U102" s="36" t="str">
        <x:f>IF(S102="","",IFERROR(INDEX('02_Öğrenciler'!$C$5:$C$203,MATCH(S102,'02_Öğrenciler'!$A$5:$A$203,0)),""))</x:f>
      </x:c>
      <x:c r="V102" s="132" t="str">
        <x:f>IF(C102="","",C102)</x:f>
      </x:c>
      <x:c r="W102" s="36" t="str">
        <x:f>IF(D102="","",D102)</x:f>
      </x:c>
      <x:c r="X102" s="36" t="str">
        <x:f>IF(E102="","",E102)</x:f>
      </x:c>
      <x:c r="Y102" s="36" t="str">
        <x:f>IF(F102="","",F102)</x:f>
      </x:c>
      <x:c r="Z102" s="36" t="str">
        <x:f>IF(G102="","",G102)</x:f>
      </x:c>
      <x:c r="AA102" s="36" t="str">
        <x:f>IF(OR(Y102="",Z102=""),"",Y102-Z102)</x:f>
      </x:c>
      <x:c r="AB102" s="52" t="str">
        <x:f>IF(OR(Y102="",Z102=""),"",IFERROR(Z102/Y102,0))</x:f>
      </x:c>
      <x:c r="AC102" s="36" t="str">
        <x:f>IF(H102="","",H102)</x:f>
      </x:c>
      <x:c r="AD102" s="132" t="str">
        <x:f>IF(I102="","",I102)</x:f>
      </x:c>
      <x:c r="AE102" s="36" t="str">
        <x:f>IF(J102="","",J102)</x:f>
      </x:c>
      <x:c r="AF102" s="36" t="str">
        <x:f>IF(K102="","",K102)</x:f>
      </x:c>
      <x:c r="AG102" s="36" t="str">
        <x:f>IF(L102="","",L102)</x:f>
      </x:c>
      <x:c r="AH102" s="36" t="str">
        <x:f>IF(M102="","",M102)</x:f>
      </x:c>
      <x:c r="AI102" s="36" t="str">
        <x:f>IF(N102="","",N102)</x:f>
      </x:c>
      <x:c r="AJ102" s="36" t="str">
        <x:f>IF(O102="","",O102)</x:f>
      </x:c>
      <x:c r="AK102" s="36" t="str">
        <x:f>IF(P102="","",P102)</x:f>
      </x:c>
      <x:c r="AL102" s="36" t="str">
        <x:f>IF(R102="","",TEXT(R102,"yyyymmddhhmmss")&amp;"-"&amp;S102&amp;"-"&amp;TEXT(ROW()-4,"0000"))</x:f>
      </x:c>
      <x:c r="AM102" s="36" t="str">
        <x:f>IF(R102="","",IF(T102="KOD HATALI","Öğrenci Kodu Hatalı",IF(OR(V102="",W102="",X102="",Y102="",Z102="",AF102="",AG102="",AJ102="",AK102=""),"Eksik Zorunlu Alan",IF(OR(Y102&lt;0,Z102&lt;0,Z102&gt;Y102),"Soru Sayısı Hatası",IF(AND(AD102&lt;&gt;"",AD102&lt;V102),"Ödev Tarihi Hatası",IF(COUNTIF($AL$5:AL102,AL102)&gt;1,"Mükerrer Form Kaydı","Aktarıma Hazır"))))))</x:f>
      </x:c>
      <x:c r="AN102" s="30"/>
      <x:c r="AO102" s="40"/>
      <x:c r="AP102" s="30"/>
    </x:row>
    <x:row r="103">
      <x:c r="A103" s="158"/>
      <x:c r="B103" s="44"/>
      <x:c r="C103" s="40"/>
      <x:c r="D103" s="30"/>
      <x:c r="E103" s="30"/>
      <x:c r="F103" s="30"/>
      <x:c r="G103" s="30"/>
      <x:c r="H103" s="30"/>
      <x:c r="I103" s="40"/>
      <x:c r="J103" s="30"/>
      <x:c r="K103" s="30"/>
      <x:c r="L103" s="30"/>
      <x:c r="M103" s="30"/>
      <x:c r="N103" s="30"/>
      <x:c r="O103" s="30"/>
      <x:c r="P103" s="30"/>
      <x:c r="R103" s="160" t="str">
        <x:f>IF(A103="","",A103)</x:f>
      </x:c>
      <x:c r="S103" s="126" t="str">
        <x:f>IF(B103="","",B103)</x:f>
      </x:c>
      <x:c r="T103" s="36" t="str">
        <x:f>IF(S103="","",IFERROR(INDEX('02_Öğrenciler'!$B$5:$B$203,MATCH(S103,'02_Öğrenciler'!$A$5:$A$203,0)),"KOD HATALI"))</x:f>
      </x:c>
      <x:c r="U103" s="36" t="str">
        <x:f>IF(S103="","",IFERROR(INDEX('02_Öğrenciler'!$C$5:$C$203,MATCH(S103,'02_Öğrenciler'!$A$5:$A$203,0)),""))</x:f>
      </x:c>
      <x:c r="V103" s="132" t="str">
        <x:f>IF(C103="","",C103)</x:f>
      </x:c>
      <x:c r="W103" s="36" t="str">
        <x:f>IF(D103="","",D103)</x:f>
      </x:c>
      <x:c r="X103" s="36" t="str">
        <x:f>IF(E103="","",E103)</x:f>
      </x:c>
      <x:c r="Y103" s="36" t="str">
        <x:f>IF(F103="","",F103)</x:f>
      </x:c>
      <x:c r="Z103" s="36" t="str">
        <x:f>IF(G103="","",G103)</x:f>
      </x:c>
      <x:c r="AA103" s="36" t="str">
        <x:f>IF(OR(Y103="",Z103=""),"",Y103-Z103)</x:f>
      </x:c>
      <x:c r="AB103" s="52" t="str">
        <x:f>IF(OR(Y103="",Z103=""),"",IFERROR(Z103/Y103,0))</x:f>
      </x:c>
      <x:c r="AC103" s="36" t="str">
        <x:f>IF(H103="","",H103)</x:f>
      </x:c>
      <x:c r="AD103" s="132" t="str">
        <x:f>IF(I103="","",I103)</x:f>
      </x:c>
      <x:c r="AE103" s="36" t="str">
        <x:f>IF(J103="","",J103)</x:f>
      </x:c>
      <x:c r="AF103" s="36" t="str">
        <x:f>IF(K103="","",K103)</x:f>
      </x:c>
      <x:c r="AG103" s="36" t="str">
        <x:f>IF(L103="","",L103)</x:f>
      </x:c>
      <x:c r="AH103" s="36" t="str">
        <x:f>IF(M103="","",M103)</x:f>
      </x:c>
      <x:c r="AI103" s="36" t="str">
        <x:f>IF(N103="","",N103)</x:f>
      </x:c>
      <x:c r="AJ103" s="36" t="str">
        <x:f>IF(O103="","",O103)</x:f>
      </x:c>
      <x:c r="AK103" s="36" t="str">
        <x:f>IF(P103="","",P103)</x:f>
      </x:c>
      <x:c r="AL103" s="36" t="str">
        <x:f>IF(R103="","",TEXT(R103,"yyyymmddhhmmss")&amp;"-"&amp;S103&amp;"-"&amp;TEXT(ROW()-4,"0000"))</x:f>
      </x:c>
      <x:c r="AM103" s="36" t="str">
        <x:f>IF(R103="","",IF(T103="KOD HATALI","Öğrenci Kodu Hatalı",IF(OR(V103="",W103="",X103="",Y103="",Z103="",AF103="",AG103="",AJ103="",AK103=""),"Eksik Zorunlu Alan",IF(OR(Y103&lt;0,Z103&lt;0,Z103&gt;Y103),"Soru Sayısı Hatası",IF(AND(AD103&lt;&gt;"",AD103&lt;V103),"Ödev Tarihi Hatası",IF(COUNTIF($AL$5:AL103,AL103)&gt;1,"Mükerrer Form Kaydı","Aktarıma Hazır"))))))</x:f>
      </x:c>
      <x:c r="AN103" s="30"/>
      <x:c r="AO103" s="40"/>
      <x:c r="AP103" s="30"/>
    </x:row>
    <x:row r="104">
      <x:c r="A104" s="158"/>
      <x:c r="B104" s="44"/>
      <x:c r="C104" s="40"/>
      <x:c r="D104" s="30"/>
      <x:c r="E104" s="30"/>
      <x:c r="F104" s="30"/>
      <x:c r="G104" s="30"/>
      <x:c r="H104" s="30"/>
      <x:c r="I104" s="40"/>
      <x:c r="J104" s="30"/>
      <x:c r="K104" s="30"/>
      <x:c r="L104" s="30"/>
      <x:c r="M104" s="30"/>
      <x:c r="N104" s="30"/>
      <x:c r="O104" s="30"/>
      <x:c r="P104" s="30"/>
      <x:c r="R104" s="160" t="str">
        <x:f>IF(A104="","",A104)</x:f>
      </x:c>
      <x:c r="S104" s="126" t="str">
        <x:f>IF(B104="","",B104)</x:f>
      </x:c>
      <x:c r="T104" s="36" t="str">
        <x:f>IF(S104="","",IFERROR(INDEX('02_Öğrenciler'!$B$5:$B$203,MATCH(S104,'02_Öğrenciler'!$A$5:$A$203,0)),"KOD HATALI"))</x:f>
      </x:c>
      <x:c r="U104" s="36" t="str">
        <x:f>IF(S104="","",IFERROR(INDEX('02_Öğrenciler'!$C$5:$C$203,MATCH(S104,'02_Öğrenciler'!$A$5:$A$203,0)),""))</x:f>
      </x:c>
      <x:c r="V104" s="132" t="str">
        <x:f>IF(C104="","",C104)</x:f>
      </x:c>
      <x:c r="W104" s="36" t="str">
        <x:f>IF(D104="","",D104)</x:f>
      </x:c>
      <x:c r="X104" s="36" t="str">
        <x:f>IF(E104="","",E104)</x:f>
      </x:c>
      <x:c r="Y104" s="36" t="str">
        <x:f>IF(F104="","",F104)</x:f>
      </x:c>
      <x:c r="Z104" s="36" t="str">
        <x:f>IF(G104="","",G104)</x:f>
      </x:c>
      <x:c r="AA104" s="36" t="str">
        <x:f>IF(OR(Y104="",Z104=""),"",Y104-Z104)</x:f>
      </x:c>
      <x:c r="AB104" s="52" t="str">
        <x:f>IF(OR(Y104="",Z104=""),"",IFERROR(Z104/Y104,0))</x:f>
      </x:c>
      <x:c r="AC104" s="36" t="str">
        <x:f>IF(H104="","",H104)</x:f>
      </x:c>
      <x:c r="AD104" s="132" t="str">
        <x:f>IF(I104="","",I104)</x:f>
      </x:c>
      <x:c r="AE104" s="36" t="str">
        <x:f>IF(J104="","",J104)</x:f>
      </x:c>
      <x:c r="AF104" s="36" t="str">
        <x:f>IF(K104="","",K104)</x:f>
      </x:c>
      <x:c r="AG104" s="36" t="str">
        <x:f>IF(L104="","",L104)</x:f>
      </x:c>
      <x:c r="AH104" s="36" t="str">
        <x:f>IF(M104="","",M104)</x:f>
      </x:c>
      <x:c r="AI104" s="36" t="str">
        <x:f>IF(N104="","",N104)</x:f>
      </x:c>
      <x:c r="AJ104" s="36" t="str">
        <x:f>IF(O104="","",O104)</x:f>
      </x:c>
      <x:c r="AK104" s="36" t="str">
        <x:f>IF(P104="","",P104)</x:f>
      </x:c>
      <x:c r="AL104" s="36" t="str">
        <x:f>IF(R104="","",TEXT(R104,"yyyymmddhhmmss")&amp;"-"&amp;S104&amp;"-"&amp;TEXT(ROW()-4,"0000"))</x:f>
      </x:c>
      <x:c r="AM104" s="36" t="str">
        <x:f>IF(R104="","",IF(T104="KOD HATALI","Öğrenci Kodu Hatalı",IF(OR(V104="",W104="",X104="",Y104="",Z104="",AF104="",AG104="",AJ104="",AK104=""),"Eksik Zorunlu Alan",IF(OR(Y104&lt;0,Z104&lt;0,Z104&gt;Y104),"Soru Sayısı Hatası",IF(AND(AD104&lt;&gt;"",AD104&lt;V104),"Ödev Tarihi Hatası",IF(COUNTIF($AL$5:AL104,AL104)&gt;1,"Mükerrer Form Kaydı","Aktarıma Hazır"))))))</x:f>
      </x:c>
      <x:c r="AN104" s="30"/>
      <x:c r="AO104" s="40"/>
      <x:c r="AP104" s="30"/>
    </x:row>
    <x:row r="105">
      <x:c r="A105" s="158"/>
      <x:c r="B105" s="44"/>
      <x:c r="C105" s="40"/>
      <x:c r="D105" s="30"/>
      <x:c r="E105" s="30"/>
      <x:c r="F105" s="30"/>
      <x:c r="G105" s="30"/>
      <x:c r="H105" s="30"/>
      <x:c r="I105" s="40"/>
      <x:c r="J105" s="30"/>
      <x:c r="K105" s="30"/>
      <x:c r="L105" s="30"/>
      <x:c r="M105" s="30"/>
      <x:c r="N105" s="30"/>
      <x:c r="O105" s="30"/>
      <x:c r="P105" s="30"/>
      <x:c r="R105" s="160" t="str">
        <x:f>IF(A105="","",A105)</x:f>
      </x:c>
      <x:c r="S105" s="126" t="str">
        <x:f>IF(B105="","",B105)</x:f>
      </x:c>
      <x:c r="T105" s="36" t="str">
        <x:f>IF(S105="","",IFERROR(INDEX('02_Öğrenciler'!$B$5:$B$203,MATCH(S105,'02_Öğrenciler'!$A$5:$A$203,0)),"KOD HATALI"))</x:f>
      </x:c>
      <x:c r="U105" s="36" t="str">
        <x:f>IF(S105="","",IFERROR(INDEX('02_Öğrenciler'!$C$5:$C$203,MATCH(S105,'02_Öğrenciler'!$A$5:$A$203,0)),""))</x:f>
      </x:c>
      <x:c r="V105" s="132" t="str">
        <x:f>IF(C105="","",C105)</x:f>
      </x:c>
      <x:c r="W105" s="36" t="str">
        <x:f>IF(D105="","",D105)</x:f>
      </x:c>
      <x:c r="X105" s="36" t="str">
        <x:f>IF(E105="","",E105)</x:f>
      </x:c>
      <x:c r="Y105" s="36" t="str">
        <x:f>IF(F105="","",F105)</x:f>
      </x:c>
      <x:c r="Z105" s="36" t="str">
        <x:f>IF(G105="","",G105)</x:f>
      </x:c>
      <x:c r="AA105" s="36" t="str">
        <x:f>IF(OR(Y105="",Z105=""),"",Y105-Z105)</x:f>
      </x:c>
      <x:c r="AB105" s="52" t="str">
        <x:f>IF(OR(Y105="",Z105=""),"",IFERROR(Z105/Y105,0))</x:f>
      </x:c>
      <x:c r="AC105" s="36" t="str">
        <x:f>IF(H105="","",H105)</x:f>
      </x:c>
      <x:c r="AD105" s="132" t="str">
        <x:f>IF(I105="","",I105)</x:f>
      </x:c>
      <x:c r="AE105" s="36" t="str">
        <x:f>IF(J105="","",J105)</x:f>
      </x:c>
      <x:c r="AF105" s="36" t="str">
        <x:f>IF(K105="","",K105)</x:f>
      </x:c>
      <x:c r="AG105" s="36" t="str">
        <x:f>IF(L105="","",L105)</x:f>
      </x:c>
      <x:c r="AH105" s="36" t="str">
        <x:f>IF(M105="","",M105)</x:f>
      </x:c>
      <x:c r="AI105" s="36" t="str">
        <x:f>IF(N105="","",N105)</x:f>
      </x:c>
      <x:c r="AJ105" s="36" t="str">
        <x:f>IF(O105="","",O105)</x:f>
      </x:c>
      <x:c r="AK105" s="36" t="str">
        <x:f>IF(P105="","",P105)</x:f>
      </x:c>
      <x:c r="AL105" s="36" t="str">
        <x:f>IF(R105="","",TEXT(R105,"yyyymmddhhmmss")&amp;"-"&amp;S105&amp;"-"&amp;TEXT(ROW()-4,"0000"))</x:f>
      </x:c>
      <x:c r="AM105" s="36" t="str">
        <x:f>IF(R105="","",IF(T105="KOD HATALI","Öğrenci Kodu Hatalı",IF(OR(V105="",W105="",X105="",Y105="",Z105="",AF105="",AG105="",AJ105="",AK105=""),"Eksik Zorunlu Alan",IF(OR(Y105&lt;0,Z105&lt;0,Z105&gt;Y105),"Soru Sayısı Hatası",IF(AND(AD105&lt;&gt;"",AD105&lt;V105),"Ödev Tarihi Hatası",IF(COUNTIF($AL$5:AL105,AL105)&gt;1,"Mükerrer Form Kaydı","Aktarıma Hazır"))))))</x:f>
      </x:c>
      <x:c r="AN105" s="30"/>
      <x:c r="AO105" s="40"/>
      <x:c r="AP105" s="30"/>
    </x:row>
    <x:row r="106">
      <x:c r="A106" s="158"/>
      <x:c r="B106" s="44"/>
      <x:c r="C106" s="40"/>
      <x:c r="D106" s="30"/>
      <x:c r="E106" s="30"/>
      <x:c r="F106" s="30"/>
      <x:c r="G106" s="30"/>
      <x:c r="H106" s="30"/>
      <x:c r="I106" s="40"/>
      <x:c r="J106" s="30"/>
      <x:c r="K106" s="30"/>
      <x:c r="L106" s="30"/>
      <x:c r="M106" s="30"/>
      <x:c r="N106" s="30"/>
      <x:c r="O106" s="30"/>
      <x:c r="P106" s="30"/>
      <x:c r="R106" s="160" t="str">
        <x:f>IF(A106="","",A106)</x:f>
      </x:c>
      <x:c r="S106" s="126" t="str">
        <x:f>IF(B106="","",B106)</x:f>
      </x:c>
      <x:c r="T106" s="36" t="str">
        <x:f>IF(S106="","",IFERROR(INDEX('02_Öğrenciler'!$B$5:$B$203,MATCH(S106,'02_Öğrenciler'!$A$5:$A$203,0)),"KOD HATALI"))</x:f>
      </x:c>
      <x:c r="U106" s="36" t="str">
        <x:f>IF(S106="","",IFERROR(INDEX('02_Öğrenciler'!$C$5:$C$203,MATCH(S106,'02_Öğrenciler'!$A$5:$A$203,0)),""))</x:f>
      </x:c>
      <x:c r="V106" s="132" t="str">
        <x:f>IF(C106="","",C106)</x:f>
      </x:c>
      <x:c r="W106" s="36" t="str">
        <x:f>IF(D106="","",D106)</x:f>
      </x:c>
      <x:c r="X106" s="36" t="str">
        <x:f>IF(E106="","",E106)</x:f>
      </x:c>
      <x:c r="Y106" s="36" t="str">
        <x:f>IF(F106="","",F106)</x:f>
      </x:c>
      <x:c r="Z106" s="36" t="str">
        <x:f>IF(G106="","",G106)</x:f>
      </x:c>
      <x:c r="AA106" s="36" t="str">
        <x:f>IF(OR(Y106="",Z106=""),"",Y106-Z106)</x:f>
      </x:c>
      <x:c r="AB106" s="52" t="str">
        <x:f>IF(OR(Y106="",Z106=""),"",IFERROR(Z106/Y106,0))</x:f>
      </x:c>
      <x:c r="AC106" s="36" t="str">
        <x:f>IF(H106="","",H106)</x:f>
      </x:c>
      <x:c r="AD106" s="132" t="str">
        <x:f>IF(I106="","",I106)</x:f>
      </x:c>
      <x:c r="AE106" s="36" t="str">
        <x:f>IF(J106="","",J106)</x:f>
      </x:c>
      <x:c r="AF106" s="36" t="str">
        <x:f>IF(K106="","",K106)</x:f>
      </x:c>
      <x:c r="AG106" s="36" t="str">
        <x:f>IF(L106="","",L106)</x:f>
      </x:c>
      <x:c r="AH106" s="36" t="str">
        <x:f>IF(M106="","",M106)</x:f>
      </x:c>
      <x:c r="AI106" s="36" t="str">
        <x:f>IF(N106="","",N106)</x:f>
      </x:c>
      <x:c r="AJ106" s="36" t="str">
        <x:f>IF(O106="","",O106)</x:f>
      </x:c>
      <x:c r="AK106" s="36" t="str">
        <x:f>IF(P106="","",P106)</x:f>
      </x:c>
      <x:c r="AL106" s="36" t="str">
        <x:f>IF(R106="","",TEXT(R106,"yyyymmddhhmmss")&amp;"-"&amp;S106&amp;"-"&amp;TEXT(ROW()-4,"0000"))</x:f>
      </x:c>
      <x:c r="AM106" s="36" t="str">
        <x:f>IF(R106="","",IF(T106="KOD HATALI","Öğrenci Kodu Hatalı",IF(OR(V106="",W106="",X106="",Y106="",Z106="",AF106="",AG106="",AJ106="",AK106=""),"Eksik Zorunlu Alan",IF(OR(Y106&lt;0,Z106&lt;0,Z106&gt;Y106),"Soru Sayısı Hatası",IF(AND(AD106&lt;&gt;"",AD106&lt;V106),"Ödev Tarihi Hatası",IF(COUNTIF($AL$5:AL106,AL106)&gt;1,"Mükerrer Form Kaydı","Aktarıma Hazır"))))))</x:f>
      </x:c>
      <x:c r="AN106" s="30"/>
      <x:c r="AO106" s="40"/>
      <x:c r="AP106" s="30"/>
    </x:row>
    <x:row r="107">
      <x:c r="A107" s="158"/>
      <x:c r="B107" s="44"/>
      <x:c r="C107" s="40"/>
      <x:c r="D107" s="30"/>
      <x:c r="E107" s="30"/>
      <x:c r="F107" s="30"/>
      <x:c r="G107" s="30"/>
      <x:c r="H107" s="30"/>
      <x:c r="I107" s="40"/>
      <x:c r="J107" s="30"/>
      <x:c r="K107" s="30"/>
      <x:c r="L107" s="30"/>
      <x:c r="M107" s="30"/>
      <x:c r="N107" s="30"/>
      <x:c r="O107" s="30"/>
      <x:c r="P107" s="30"/>
      <x:c r="R107" s="160" t="str">
        <x:f>IF(A107="","",A107)</x:f>
      </x:c>
      <x:c r="S107" s="126" t="str">
        <x:f>IF(B107="","",B107)</x:f>
      </x:c>
      <x:c r="T107" s="36" t="str">
        <x:f>IF(S107="","",IFERROR(INDEX('02_Öğrenciler'!$B$5:$B$203,MATCH(S107,'02_Öğrenciler'!$A$5:$A$203,0)),"KOD HATALI"))</x:f>
      </x:c>
      <x:c r="U107" s="36" t="str">
        <x:f>IF(S107="","",IFERROR(INDEX('02_Öğrenciler'!$C$5:$C$203,MATCH(S107,'02_Öğrenciler'!$A$5:$A$203,0)),""))</x:f>
      </x:c>
      <x:c r="V107" s="132" t="str">
        <x:f>IF(C107="","",C107)</x:f>
      </x:c>
      <x:c r="W107" s="36" t="str">
        <x:f>IF(D107="","",D107)</x:f>
      </x:c>
      <x:c r="X107" s="36" t="str">
        <x:f>IF(E107="","",E107)</x:f>
      </x:c>
      <x:c r="Y107" s="36" t="str">
        <x:f>IF(F107="","",F107)</x:f>
      </x:c>
      <x:c r="Z107" s="36" t="str">
        <x:f>IF(G107="","",G107)</x:f>
      </x:c>
      <x:c r="AA107" s="36" t="str">
        <x:f>IF(OR(Y107="",Z107=""),"",Y107-Z107)</x:f>
      </x:c>
      <x:c r="AB107" s="52" t="str">
        <x:f>IF(OR(Y107="",Z107=""),"",IFERROR(Z107/Y107,0))</x:f>
      </x:c>
      <x:c r="AC107" s="36" t="str">
        <x:f>IF(H107="","",H107)</x:f>
      </x:c>
      <x:c r="AD107" s="132" t="str">
        <x:f>IF(I107="","",I107)</x:f>
      </x:c>
      <x:c r="AE107" s="36" t="str">
        <x:f>IF(J107="","",J107)</x:f>
      </x:c>
      <x:c r="AF107" s="36" t="str">
        <x:f>IF(K107="","",K107)</x:f>
      </x:c>
      <x:c r="AG107" s="36" t="str">
        <x:f>IF(L107="","",L107)</x:f>
      </x:c>
      <x:c r="AH107" s="36" t="str">
        <x:f>IF(M107="","",M107)</x:f>
      </x:c>
      <x:c r="AI107" s="36" t="str">
        <x:f>IF(N107="","",N107)</x:f>
      </x:c>
      <x:c r="AJ107" s="36" t="str">
        <x:f>IF(O107="","",O107)</x:f>
      </x:c>
      <x:c r="AK107" s="36" t="str">
        <x:f>IF(P107="","",P107)</x:f>
      </x:c>
      <x:c r="AL107" s="36" t="str">
        <x:f>IF(R107="","",TEXT(R107,"yyyymmddhhmmss")&amp;"-"&amp;S107&amp;"-"&amp;TEXT(ROW()-4,"0000"))</x:f>
      </x:c>
      <x:c r="AM107" s="36" t="str">
        <x:f>IF(R107="","",IF(T107="KOD HATALI","Öğrenci Kodu Hatalı",IF(OR(V107="",W107="",X107="",Y107="",Z107="",AF107="",AG107="",AJ107="",AK107=""),"Eksik Zorunlu Alan",IF(OR(Y107&lt;0,Z107&lt;0,Z107&gt;Y107),"Soru Sayısı Hatası",IF(AND(AD107&lt;&gt;"",AD107&lt;V107),"Ödev Tarihi Hatası",IF(COUNTIF($AL$5:AL107,AL107)&gt;1,"Mükerrer Form Kaydı","Aktarıma Hazır"))))))</x:f>
      </x:c>
      <x:c r="AN107" s="30"/>
      <x:c r="AO107" s="40"/>
      <x:c r="AP107" s="30"/>
    </x:row>
    <x:row r="108">
      <x:c r="A108" s="158"/>
      <x:c r="B108" s="44"/>
      <x:c r="C108" s="40"/>
      <x:c r="D108" s="30"/>
      <x:c r="E108" s="30"/>
      <x:c r="F108" s="30"/>
      <x:c r="G108" s="30"/>
      <x:c r="H108" s="30"/>
      <x:c r="I108" s="40"/>
      <x:c r="J108" s="30"/>
      <x:c r="K108" s="30"/>
      <x:c r="L108" s="30"/>
      <x:c r="M108" s="30"/>
      <x:c r="N108" s="30"/>
      <x:c r="O108" s="30"/>
      <x:c r="P108" s="30"/>
      <x:c r="R108" s="160" t="str">
        <x:f>IF(A108="","",A108)</x:f>
      </x:c>
      <x:c r="S108" s="126" t="str">
        <x:f>IF(B108="","",B108)</x:f>
      </x:c>
      <x:c r="T108" s="36" t="str">
        <x:f>IF(S108="","",IFERROR(INDEX('02_Öğrenciler'!$B$5:$B$203,MATCH(S108,'02_Öğrenciler'!$A$5:$A$203,0)),"KOD HATALI"))</x:f>
      </x:c>
      <x:c r="U108" s="36" t="str">
        <x:f>IF(S108="","",IFERROR(INDEX('02_Öğrenciler'!$C$5:$C$203,MATCH(S108,'02_Öğrenciler'!$A$5:$A$203,0)),""))</x:f>
      </x:c>
      <x:c r="V108" s="132" t="str">
        <x:f>IF(C108="","",C108)</x:f>
      </x:c>
      <x:c r="W108" s="36" t="str">
        <x:f>IF(D108="","",D108)</x:f>
      </x:c>
      <x:c r="X108" s="36" t="str">
        <x:f>IF(E108="","",E108)</x:f>
      </x:c>
      <x:c r="Y108" s="36" t="str">
        <x:f>IF(F108="","",F108)</x:f>
      </x:c>
      <x:c r="Z108" s="36" t="str">
        <x:f>IF(G108="","",G108)</x:f>
      </x:c>
      <x:c r="AA108" s="36" t="str">
        <x:f>IF(OR(Y108="",Z108=""),"",Y108-Z108)</x:f>
      </x:c>
      <x:c r="AB108" s="52" t="str">
        <x:f>IF(OR(Y108="",Z108=""),"",IFERROR(Z108/Y108,0))</x:f>
      </x:c>
      <x:c r="AC108" s="36" t="str">
        <x:f>IF(H108="","",H108)</x:f>
      </x:c>
      <x:c r="AD108" s="132" t="str">
        <x:f>IF(I108="","",I108)</x:f>
      </x:c>
      <x:c r="AE108" s="36" t="str">
        <x:f>IF(J108="","",J108)</x:f>
      </x:c>
      <x:c r="AF108" s="36" t="str">
        <x:f>IF(K108="","",K108)</x:f>
      </x:c>
      <x:c r="AG108" s="36" t="str">
        <x:f>IF(L108="","",L108)</x:f>
      </x:c>
      <x:c r="AH108" s="36" t="str">
        <x:f>IF(M108="","",M108)</x:f>
      </x:c>
      <x:c r="AI108" s="36" t="str">
        <x:f>IF(N108="","",N108)</x:f>
      </x:c>
      <x:c r="AJ108" s="36" t="str">
        <x:f>IF(O108="","",O108)</x:f>
      </x:c>
      <x:c r="AK108" s="36" t="str">
        <x:f>IF(P108="","",P108)</x:f>
      </x:c>
      <x:c r="AL108" s="36" t="str">
        <x:f>IF(R108="","",TEXT(R108,"yyyymmddhhmmss")&amp;"-"&amp;S108&amp;"-"&amp;TEXT(ROW()-4,"0000"))</x:f>
      </x:c>
      <x:c r="AM108" s="36" t="str">
        <x:f>IF(R108="","",IF(T108="KOD HATALI","Öğrenci Kodu Hatalı",IF(OR(V108="",W108="",X108="",Y108="",Z108="",AF108="",AG108="",AJ108="",AK108=""),"Eksik Zorunlu Alan",IF(OR(Y108&lt;0,Z108&lt;0,Z108&gt;Y108),"Soru Sayısı Hatası",IF(AND(AD108&lt;&gt;"",AD108&lt;V108),"Ödev Tarihi Hatası",IF(COUNTIF($AL$5:AL108,AL108)&gt;1,"Mükerrer Form Kaydı","Aktarıma Hazır"))))))</x:f>
      </x:c>
      <x:c r="AN108" s="30"/>
      <x:c r="AO108" s="40"/>
      <x:c r="AP108" s="30"/>
    </x:row>
    <x:row r="109">
      <x:c r="A109" s="158"/>
      <x:c r="B109" s="44"/>
      <x:c r="C109" s="40"/>
      <x:c r="D109" s="30"/>
      <x:c r="E109" s="30"/>
      <x:c r="F109" s="30"/>
      <x:c r="G109" s="30"/>
      <x:c r="H109" s="30"/>
      <x:c r="I109" s="40"/>
      <x:c r="J109" s="30"/>
      <x:c r="K109" s="30"/>
      <x:c r="L109" s="30"/>
      <x:c r="M109" s="30"/>
      <x:c r="N109" s="30"/>
      <x:c r="O109" s="30"/>
      <x:c r="P109" s="30"/>
      <x:c r="R109" s="160" t="str">
        <x:f>IF(A109="","",A109)</x:f>
      </x:c>
      <x:c r="S109" s="126" t="str">
        <x:f>IF(B109="","",B109)</x:f>
      </x:c>
      <x:c r="T109" s="36" t="str">
        <x:f>IF(S109="","",IFERROR(INDEX('02_Öğrenciler'!$B$5:$B$203,MATCH(S109,'02_Öğrenciler'!$A$5:$A$203,0)),"KOD HATALI"))</x:f>
      </x:c>
      <x:c r="U109" s="36" t="str">
        <x:f>IF(S109="","",IFERROR(INDEX('02_Öğrenciler'!$C$5:$C$203,MATCH(S109,'02_Öğrenciler'!$A$5:$A$203,0)),""))</x:f>
      </x:c>
      <x:c r="V109" s="132" t="str">
        <x:f>IF(C109="","",C109)</x:f>
      </x:c>
      <x:c r="W109" s="36" t="str">
        <x:f>IF(D109="","",D109)</x:f>
      </x:c>
      <x:c r="X109" s="36" t="str">
        <x:f>IF(E109="","",E109)</x:f>
      </x:c>
      <x:c r="Y109" s="36" t="str">
        <x:f>IF(F109="","",F109)</x:f>
      </x:c>
      <x:c r="Z109" s="36" t="str">
        <x:f>IF(G109="","",G109)</x:f>
      </x:c>
      <x:c r="AA109" s="36" t="str">
        <x:f>IF(OR(Y109="",Z109=""),"",Y109-Z109)</x:f>
      </x:c>
      <x:c r="AB109" s="52" t="str">
        <x:f>IF(OR(Y109="",Z109=""),"",IFERROR(Z109/Y109,0))</x:f>
      </x:c>
      <x:c r="AC109" s="36" t="str">
        <x:f>IF(H109="","",H109)</x:f>
      </x:c>
      <x:c r="AD109" s="132" t="str">
        <x:f>IF(I109="","",I109)</x:f>
      </x:c>
      <x:c r="AE109" s="36" t="str">
        <x:f>IF(J109="","",J109)</x:f>
      </x:c>
      <x:c r="AF109" s="36" t="str">
        <x:f>IF(K109="","",K109)</x:f>
      </x:c>
      <x:c r="AG109" s="36" t="str">
        <x:f>IF(L109="","",L109)</x:f>
      </x:c>
      <x:c r="AH109" s="36" t="str">
        <x:f>IF(M109="","",M109)</x:f>
      </x:c>
      <x:c r="AI109" s="36" t="str">
        <x:f>IF(N109="","",N109)</x:f>
      </x:c>
      <x:c r="AJ109" s="36" t="str">
        <x:f>IF(O109="","",O109)</x:f>
      </x:c>
      <x:c r="AK109" s="36" t="str">
        <x:f>IF(P109="","",P109)</x:f>
      </x:c>
      <x:c r="AL109" s="36" t="str">
        <x:f>IF(R109="","",TEXT(R109,"yyyymmddhhmmss")&amp;"-"&amp;S109&amp;"-"&amp;TEXT(ROW()-4,"0000"))</x:f>
      </x:c>
      <x:c r="AM109" s="36" t="str">
        <x:f>IF(R109="","",IF(T109="KOD HATALI","Öğrenci Kodu Hatalı",IF(OR(V109="",W109="",X109="",Y109="",Z109="",AF109="",AG109="",AJ109="",AK109=""),"Eksik Zorunlu Alan",IF(OR(Y109&lt;0,Z109&lt;0,Z109&gt;Y109),"Soru Sayısı Hatası",IF(AND(AD109&lt;&gt;"",AD109&lt;V109),"Ödev Tarihi Hatası",IF(COUNTIF($AL$5:AL109,AL109)&gt;1,"Mükerrer Form Kaydı","Aktarıma Hazır"))))))</x:f>
      </x:c>
      <x:c r="AN109" s="30"/>
      <x:c r="AO109" s="40"/>
      <x:c r="AP109" s="30"/>
    </x:row>
    <x:row r="110">
      <x:c r="A110" s="158"/>
      <x:c r="B110" s="44"/>
      <x:c r="C110" s="40"/>
      <x:c r="D110" s="30"/>
      <x:c r="E110" s="30"/>
      <x:c r="F110" s="30"/>
      <x:c r="G110" s="30"/>
      <x:c r="H110" s="30"/>
      <x:c r="I110" s="40"/>
      <x:c r="J110" s="30"/>
      <x:c r="K110" s="30"/>
      <x:c r="L110" s="30"/>
      <x:c r="M110" s="30"/>
      <x:c r="N110" s="30"/>
      <x:c r="O110" s="30"/>
      <x:c r="P110" s="30"/>
      <x:c r="R110" s="160" t="str">
        <x:f>IF(A110="","",A110)</x:f>
      </x:c>
      <x:c r="S110" s="126" t="str">
        <x:f>IF(B110="","",B110)</x:f>
      </x:c>
      <x:c r="T110" s="36" t="str">
        <x:f>IF(S110="","",IFERROR(INDEX('02_Öğrenciler'!$B$5:$B$203,MATCH(S110,'02_Öğrenciler'!$A$5:$A$203,0)),"KOD HATALI"))</x:f>
      </x:c>
      <x:c r="U110" s="36" t="str">
        <x:f>IF(S110="","",IFERROR(INDEX('02_Öğrenciler'!$C$5:$C$203,MATCH(S110,'02_Öğrenciler'!$A$5:$A$203,0)),""))</x:f>
      </x:c>
      <x:c r="V110" s="132" t="str">
        <x:f>IF(C110="","",C110)</x:f>
      </x:c>
      <x:c r="W110" s="36" t="str">
        <x:f>IF(D110="","",D110)</x:f>
      </x:c>
      <x:c r="X110" s="36" t="str">
        <x:f>IF(E110="","",E110)</x:f>
      </x:c>
      <x:c r="Y110" s="36" t="str">
        <x:f>IF(F110="","",F110)</x:f>
      </x:c>
      <x:c r="Z110" s="36" t="str">
        <x:f>IF(G110="","",G110)</x:f>
      </x:c>
      <x:c r="AA110" s="36" t="str">
        <x:f>IF(OR(Y110="",Z110=""),"",Y110-Z110)</x:f>
      </x:c>
      <x:c r="AB110" s="52" t="str">
        <x:f>IF(OR(Y110="",Z110=""),"",IFERROR(Z110/Y110,0))</x:f>
      </x:c>
      <x:c r="AC110" s="36" t="str">
        <x:f>IF(H110="","",H110)</x:f>
      </x:c>
      <x:c r="AD110" s="132" t="str">
        <x:f>IF(I110="","",I110)</x:f>
      </x:c>
      <x:c r="AE110" s="36" t="str">
        <x:f>IF(J110="","",J110)</x:f>
      </x:c>
      <x:c r="AF110" s="36" t="str">
        <x:f>IF(K110="","",K110)</x:f>
      </x:c>
      <x:c r="AG110" s="36" t="str">
        <x:f>IF(L110="","",L110)</x:f>
      </x:c>
      <x:c r="AH110" s="36" t="str">
        <x:f>IF(M110="","",M110)</x:f>
      </x:c>
      <x:c r="AI110" s="36" t="str">
        <x:f>IF(N110="","",N110)</x:f>
      </x:c>
      <x:c r="AJ110" s="36" t="str">
        <x:f>IF(O110="","",O110)</x:f>
      </x:c>
      <x:c r="AK110" s="36" t="str">
        <x:f>IF(P110="","",P110)</x:f>
      </x:c>
      <x:c r="AL110" s="36" t="str">
        <x:f>IF(R110="","",TEXT(R110,"yyyymmddhhmmss")&amp;"-"&amp;S110&amp;"-"&amp;TEXT(ROW()-4,"0000"))</x:f>
      </x:c>
      <x:c r="AM110" s="36" t="str">
        <x:f>IF(R110="","",IF(T110="KOD HATALI","Öğrenci Kodu Hatalı",IF(OR(V110="",W110="",X110="",Y110="",Z110="",AF110="",AG110="",AJ110="",AK110=""),"Eksik Zorunlu Alan",IF(OR(Y110&lt;0,Z110&lt;0,Z110&gt;Y110),"Soru Sayısı Hatası",IF(AND(AD110&lt;&gt;"",AD110&lt;V110),"Ödev Tarihi Hatası",IF(COUNTIF($AL$5:AL110,AL110)&gt;1,"Mükerrer Form Kaydı","Aktarıma Hazır"))))))</x:f>
      </x:c>
      <x:c r="AN110" s="30"/>
      <x:c r="AO110" s="40"/>
      <x:c r="AP110" s="30"/>
    </x:row>
    <x:row r="111">
      <x:c r="A111" s="158"/>
      <x:c r="B111" s="44"/>
      <x:c r="C111" s="40"/>
      <x:c r="D111" s="30"/>
      <x:c r="E111" s="30"/>
      <x:c r="F111" s="30"/>
      <x:c r="G111" s="30"/>
      <x:c r="H111" s="30"/>
      <x:c r="I111" s="40"/>
      <x:c r="J111" s="30"/>
      <x:c r="K111" s="30"/>
      <x:c r="L111" s="30"/>
      <x:c r="M111" s="30"/>
      <x:c r="N111" s="30"/>
      <x:c r="O111" s="30"/>
      <x:c r="P111" s="30"/>
      <x:c r="R111" s="160" t="str">
        <x:f>IF(A111="","",A111)</x:f>
      </x:c>
      <x:c r="S111" s="126" t="str">
        <x:f>IF(B111="","",B111)</x:f>
      </x:c>
      <x:c r="T111" s="36" t="str">
        <x:f>IF(S111="","",IFERROR(INDEX('02_Öğrenciler'!$B$5:$B$203,MATCH(S111,'02_Öğrenciler'!$A$5:$A$203,0)),"KOD HATALI"))</x:f>
      </x:c>
      <x:c r="U111" s="36" t="str">
        <x:f>IF(S111="","",IFERROR(INDEX('02_Öğrenciler'!$C$5:$C$203,MATCH(S111,'02_Öğrenciler'!$A$5:$A$203,0)),""))</x:f>
      </x:c>
      <x:c r="V111" s="132" t="str">
        <x:f>IF(C111="","",C111)</x:f>
      </x:c>
      <x:c r="W111" s="36" t="str">
        <x:f>IF(D111="","",D111)</x:f>
      </x:c>
      <x:c r="X111" s="36" t="str">
        <x:f>IF(E111="","",E111)</x:f>
      </x:c>
      <x:c r="Y111" s="36" t="str">
        <x:f>IF(F111="","",F111)</x:f>
      </x:c>
      <x:c r="Z111" s="36" t="str">
        <x:f>IF(G111="","",G111)</x:f>
      </x:c>
      <x:c r="AA111" s="36" t="str">
        <x:f>IF(OR(Y111="",Z111=""),"",Y111-Z111)</x:f>
      </x:c>
      <x:c r="AB111" s="52" t="str">
        <x:f>IF(OR(Y111="",Z111=""),"",IFERROR(Z111/Y111,0))</x:f>
      </x:c>
      <x:c r="AC111" s="36" t="str">
        <x:f>IF(H111="","",H111)</x:f>
      </x:c>
      <x:c r="AD111" s="132" t="str">
        <x:f>IF(I111="","",I111)</x:f>
      </x:c>
      <x:c r="AE111" s="36" t="str">
        <x:f>IF(J111="","",J111)</x:f>
      </x:c>
      <x:c r="AF111" s="36" t="str">
        <x:f>IF(K111="","",K111)</x:f>
      </x:c>
      <x:c r="AG111" s="36" t="str">
        <x:f>IF(L111="","",L111)</x:f>
      </x:c>
      <x:c r="AH111" s="36" t="str">
        <x:f>IF(M111="","",M111)</x:f>
      </x:c>
      <x:c r="AI111" s="36" t="str">
        <x:f>IF(N111="","",N111)</x:f>
      </x:c>
      <x:c r="AJ111" s="36" t="str">
        <x:f>IF(O111="","",O111)</x:f>
      </x:c>
      <x:c r="AK111" s="36" t="str">
        <x:f>IF(P111="","",P111)</x:f>
      </x:c>
      <x:c r="AL111" s="36" t="str">
        <x:f>IF(R111="","",TEXT(R111,"yyyymmddhhmmss")&amp;"-"&amp;S111&amp;"-"&amp;TEXT(ROW()-4,"0000"))</x:f>
      </x:c>
      <x:c r="AM111" s="36" t="str">
        <x:f>IF(R111="","",IF(T111="KOD HATALI","Öğrenci Kodu Hatalı",IF(OR(V111="",W111="",X111="",Y111="",Z111="",AF111="",AG111="",AJ111="",AK111=""),"Eksik Zorunlu Alan",IF(OR(Y111&lt;0,Z111&lt;0,Z111&gt;Y111),"Soru Sayısı Hatası",IF(AND(AD111&lt;&gt;"",AD111&lt;V111),"Ödev Tarihi Hatası",IF(COUNTIF($AL$5:AL111,AL111)&gt;1,"Mükerrer Form Kaydı","Aktarıma Hazır"))))))</x:f>
      </x:c>
      <x:c r="AN111" s="30"/>
      <x:c r="AO111" s="40"/>
      <x:c r="AP111" s="30"/>
    </x:row>
    <x:row r="112">
      <x:c r="A112" s="158"/>
      <x:c r="B112" s="44"/>
      <x:c r="C112" s="40"/>
      <x:c r="D112" s="30"/>
      <x:c r="E112" s="30"/>
      <x:c r="F112" s="30"/>
      <x:c r="G112" s="30"/>
      <x:c r="H112" s="30"/>
      <x:c r="I112" s="40"/>
      <x:c r="J112" s="30"/>
      <x:c r="K112" s="30"/>
      <x:c r="L112" s="30"/>
      <x:c r="M112" s="30"/>
      <x:c r="N112" s="30"/>
      <x:c r="O112" s="30"/>
      <x:c r="P112" s="30"/>
      <x:c r="R112" s="160" t="str">
        <x:f>IF(A112="","",A112)</x:f>
      </x:c>
      <x:c r="S112" s="126" t="str">
        <x:f>IF(B112="","",B112)</x:f>
      </x:c>
      <x:c r="T112" s="36" t="str">
        <x:f>IF(S112="","",IFERROR(INDEX('02_Öğrenciler'!$B$5:$B$203,MATCH(S112,'02_Öğrenciler'!$A$5:$A$203,0)),"KOD HATALI"))</x:f>
      </x:c>
      <x:c r="U112" s="36" t="str">
        <x:f>IF(S112="","",IFERROR(INDEX('02_Öğrenciler'!$C$5:$C$203,MATCH(S112,'02_Öğrenciler'!$A$5:$A$203,0)),""))</x:f>
      </x:c>
      <x:c r="V112" s="132" t="str">
        <x:f>IF(C112="","",C112)</x:f>
      </x:c>
      <x:c r="W112" s="36" t="str">
        <x:f>IF(D112="","",D112)</x:f>
      </x:c>
      <x:c r="X112" s="36" t="str">
        <x:f>IF(E112="","",E112)</x:f>
      </x:c>
      <x:c r="Y112" s="36" t="str">
        <x:f>IF(F112="","",F112)</x:f>
      </x:c>
      <x:c r="Z112" s="36" t="str">
        <x:f>IF(G112="","",G112)</x:f>
      </x:c>
      <x:c r="AA112" s="36" t="str">
        <x:f>IF(OR(Y112="",Z112=""),"",Y112-Z112)</x:f>
      </x:c>
      <x:c r="AB112" s="52" t="str">
        <x:f>IF(OR(Y112="",Z112=""),"",IFERROR(Z112/Y112,0))</x:f>
      </x:c>
      <x:c r="AC112" s="36" t="str">
        <x:f>IF(H112="","",H112)</x:f>
      </x:c>
      <x:c r="AD112" s="132" t="str">
        <x:f>IF(I112="","",I112)</x:f>
      </x:c>
      <x:c r="AE112" s="36" t="str">
        <x:f>IF(J112="","",J112)</x:f>
      </x:c>
      <x:c r="AF112" s="36" t="str">
        <x:f>IF(K112="","",K112)</x:f>
      </x:c>
      <x:c r="AG112" s="36" t="str">
        <x:f>IF(L112="","",L112)</x:f>
      </x:c>
      <x:c r="AH112" s="36" t="str">
        <x:f>IF(M112="","",M112)</x:f>
      </x:c>
      <x:c r="AI112" s="36" t="str">
        <x:f>IF(N112="","",N112)</x:f>
      </x:c>
      <x:c r="AJ112" s="36" t="str">
        <x:f>IF(O112="","",O112)</x:f>
      </x:c>
      <x:c r="AK112" s="36" t="str">
        <x:f>IF(P112="","",P112)</x:f>
      </x:c>
      <x:c r="AL112" s="36" t="str">
        <x:f>IF(R112="","",TEXT(R112,"yyyymmddhhmmss")&amp;"-"&amp;S112&amp;"-"&amp;TEXT(ROW()-4,"0000"))</x:f>
      </x:c>
      <x:c r="AM112" s="36" t="str">
        <x:f>IF(R112="","",IF(T112="KOD HATALI","Öğrenci Kodu Hatalı",IF(OR(V112="",W112="",X112="",Y112="",Z112="",AF112="",AG112="",AJ112="",AK112=""),"Eksik Zorunlu Alan",IF(OR(Y112&lt;0,Z112&lt;0,Z112&gt;Y112),"Soru Sayısı Hatası",IF(AND(AD112&lt;&gt;"",AD112&lt;V112),"Ödev Tarihi Hatası",IF(COUNTIF($AL$5:AL112,AL112)&gt;1,"Mükerrer Form Kaydı","Aktarıma Hazır"))))))</x:f>
      </x:c>
      <x:c r="AN112" s="30"/>
      <x:c r="AO112" s="40"/>
      <x:c r="AP112" s="30"/>
    </x:row>
    <x:row r="113">
      <x:c r="A113" s="158"/>
      <x:c r="B113" s="44"/>
      <x:c r="C113" s="40"/>
      <x:c r="D113" s="30"/>
      <x:c r="E113" s="30"/>
      <x:c r="F113" s="30"/>
      <x:c r="G113" s="30"/>
      <x:c r="H113" s="30"/>
      <x:c r="I113" s="40"/>
      <x:c r="J113" s="30"/>
      <x:c r="K113" s="30"/>
      <x:c r="L113" s="30"/>
      <x:c r="M113" s="30"/>
      <x:c r="N113" s="30"/>
      <x:c r="O113" s="30"/>
      <x:c r="P113" s="30"/>
      <x:c r="R113" s="160" t="str">
        <x:f>IF(A113="","",A113)</x:f>
      </x:c>
      <x:c r="S113" s="126" t="str">
        <x:f>IF(B113="","",B113)</x:f>
      </x:c>
      <x:c r="T113" s="36" t="str">
        <x:f>IF(S113="","",IFERROR(INDEX('02_Öğrenciler'!$B$5:$B$203,MATCH(S113,'02_Öğrenciler'!$A$5:$A$203,0)),"KOD HATALI"))</x:f>
      </x:c>
      <x:c r="U113" s="36" t="str">
        <x:f>IF(S113="","",IFERROR(INDEX('02_Öğrenciler'!$C$5:$C$203,MATCH(S113,'02_Öğrenciler'!$A$5:$A$203,0)),""))</x:f>
      </x:c>
      <x:c r="V113" s="132" t="str">
        <x:f>IF(C113="","",C113)</x:f>
      </x:c>
      <x:c r="W113" s="36" t="str">
        <x:f>IF(D113="","",D113)</x:f>
      </x:c>
      <x:c r="X113" s="36" t="str">
        <x:f>IF(E113="","",E113)</x:f>
      </x:c>
      <x:c r="Y113" s="36" t="str">
        <x:f>IF(F113="","",F113)</x:f>
      </x:c>
      <x:c r="Z113" s="36" t="str">
        <x:f>IF(G113="","",G113)</x:f>
      </x:c>
      <x:c r="AA113" s="36" t="str">
        <x:f>IF(OR(Y113="",Z113=""),"",Y113-Z113)</x:f>
      </x:c>
      <x:c r="AB113" s="52" t="str">
        <x:f>IF(OR(Y113="",Z113=""),"",IFERROR(Z113/Y113,0))</x:f>
      </x:c>
      <x:c r="AC113" s="36" t="str">
        <x:f>IF(H113="","",H113)</x:f>
      </x:c>
      <x:c r="AD113" s="132" t="str">
        <x:f>IF(I113="","",I113)</x:f>
      </x:c>
      <x:c r="AE113" s="36" t="str">
        <x:f>IF(J113="","",J113)</x:f>
      </x:c>
      <x:c r="AF113" s="36" t="str">
        <x:f>IF(K113="","",K113)</x:f>
      </x:c>
      <x:c r="AG113" s="36" t="str">
        <x:f>IF(L113="","",L113)</x:f>
      </x:c>
      <x:c r="AH113" s="36" t="str">
        <x:f>IF(M113="","",M113)</x:f>
      </x:c>
      <x:c r="AI113" s="36" t="str">
        <x:f>IF(N113="","",N113)</x:f>
      </x:c>
      <x:c r="AJ113" s="36" t="str">
        <x:f>IF(O113="","",O113)</x:f>
      </x:c>
      <x:c r="AK113" s="36" t="str">
        <x:f>IF(P113="","",P113)</x:f>
      </x:c>
      <x:c r="AL113" s="36" t="str">
        <x:f>IF(R113="","",TEXT(R113,"yyyymmddhhmmss")&amp;"-"&amp;S113&amp;"-"&amp;TEXT(ROW()-4,"0000"))</x:f>
      </x:c>
      <x:c r="AM113" s="36" t="str">
        <x:f>IF(R113="","",IF(T113="KOD HATALI","Öğrenci Kodu Hatalı",IF(OR(V113="",W113="",X113="",Y113="",Z113="",AF113="",AG113="",AJ113="",AK113=""),"Eksik Zorunlu Alan",IF(OR(Y113&lt;0,Z113&lt;0,Z113&gt;Y113),"Soru Sayısı Hatası",IF(AND(AD113&lt;&gt;"",AD113&lt;V113),"Ödev Tarihi Hatası",IF(COUNTIF($AL$5:AL113,AL113)&gt;1,"Mükerrer Form Kaydı","Aktarıma Hazır"))))))</x:f>
      </x:c>
      <x:c r="AN113" s="30"/>
      <x:c r="AO113" s="40"/>
      <x:c r="AP113" s="30"/>
    </x:row>
    <x:row r="114">
      <x:c r="A114" s="158"/>
      <x:c r="B114" s="44"/>
      <x:c r="C114" s="40"/>
      <x:c r="D114" s="30"/>
      <x:c r="E114" s="30"/>
      <x:c r="F114" s="30"/>
      <x:c r="G114" s="30"/>
      <x:c r="H114" s="30"/>
      <x:c r="I114" s="40"/>
      <x:c r="J114" s="30"/>
      <x:c r="K114" s="30"/>
      <x:c r="L114" s="30"/>
      <x:c r="M114" s="30"/>
      <x:c r="N114" s="30"/>
      <x:c r="O114" s="30"/>
      <x:c r="P114" s="30"/>
      <x:c r="R114" s="160" t="str">
        <x:f>IF(A114="","",A114)</x:f>
      </x:c>
      <x:c r="S114" s="126" t="str">
        <x:f>IF(B114="","",B114)</x:f>
      </x:c>
      <x:c r="T114" s="36" t="str">
        <x:f>IF(S114="","",IFERROR(INDEX('02_Öğrenciler'!$B$5:$B$203,MATCH(S114,'02_Öğrenciler'!$A$5:$A$203,0)),"KOD HATALI"))</x:f>
      </x:c>
      <x:c r="U114" s="36" t="str">
        <x:f>IF(S114="","",IFERROR(INDEX('02_Öğrenciler'!$C$5:$C$203,MATCH(S114,'02_Öğrenciler'!$A$5:$A$203,0)),""))</x:f>
      </x:c>
      <x:c r="V114" s="132" t="str">
        <x:f>IF(C114="","",C114)</x:f>
      </x:c>
      <x:c r="W114" s="36" t="str">
        <x:f>IF(D114="","",D114)</x:f>
      </x:c>
      <x:c r="X114" s="36" t="str">
        <x:f>IF(E114="","",E114)</x:f>
      </x:c>
      <x:c r="Y114" s="36" t="str">
        <x:f>IF(F114="","",F114)</x:f>
      </x:c>
      <x:c r="Z114" s="36" t="str">
        <x:f>IF(G114="","",G114)</x:f>
      </x:c>
      <x:c r="AA114" s="36" t="str">
        <x:f>IF(OR(Y114="",Z114=""),"",Y114-Z114)</x:f>
      </x:c>
      <x:c r="AB114" s="52" t="str">
        <x:f>IF(OR(Y114="",Z114=""),"",IFERROR(Z114/Y114,0))</x:f>
      </x:c>
      <x:c r="AC114" s="36" t="str">
        <x:f>IF(H114="","",H114)</x:f>
      </x:c>
      <x:c r="AD114" s="132" t="str">
        <x:f>IF(I114="","",I114)</x:f>
      </x:c>
      <x:c r="AE114" s="36" t="str">
        <x:f>IF(J114="","",J114)</x:f>
      </x:c>
      <x:c r="AF114" s="36" t="str">
        <x:f>IF(K114="","",K114)</x:f>
      </x:c>
      <x:c r="AG114" s="36" t="str">
        <x:f>IF(L114="","",L114)</x:f>
      </x:c>
      <x:c r="AH114" s="36" t="str">
        <x:f>IF(M114="","",M114)</x:f>
      </x:c>
      <x:c r="AI114" s="36" t="str">
        <x:f>IF(N114="","",N114)</x:f>
      </x:c>
      <x:c r="AJ114" s="36" t="str">
        <x:f>IF(O114="","",O114)</x:f>
      </x:c>
      <x:c r="AK114" s="36" t="str">
        <x:f>IF(P114="","",P114)</x:f>
      </x:c>
      <x:c r="AL114" s="36" t="str">
        <x:f>IF(R114="","",TEXT(R114,"yyyymmddhhmmss")&amp;"-"&amp;S114&amp;"-"&amp;TEXT(ROW()-4,"0000"))</x:f>
      </x:c>
      <x:c r="AM114" s="36" t="str">
        <x:f>IF(R114="","",IF(T114="KOD HATALI","Öğrenci Kodu Hatalı",IF(OR(V114="",W114="",X114="",Y114="",Z114="",AF114="",AG114="",AJ114="",AK114=""),"Eksik Zorunlu Alan",IF(OR(Y114&lt;0,Z114&lt;0,Z114&gt;Y114),"Soru Sayısı Hatası",IF(AND(AD114&lt;&gt;"",AD114&lt;V114),"Ödev Tarihi Hatası",IF(COUNTIF($AL$5:AL114,AL114)&gt;1,"Mükerrer Form Kaydı","Aktarıma Hazır"))))))</x:f>
      </x:c>
      <x:c r="AN114" s="30"/>
      <x:c r="AO114" s="40"/>
      <x:c r="AP114" s="30"/>
    </x:row>
    <x:row r="115">
      <x:c r="A115" s="158"/>
      <x:c r="B115" s="44"/>
      <x:c r="C115" s="40"/>
      <x:c r="D115" s="30"/>
      <x:c r="E115" s="30"/>
      <x:c r="F115" s="30"/>
      <x:c r="G115" s="30"/>
      <x:c r="H115" s="30"/>
      <x:c r="I115" s="40"/>
      <x:c r="J115" s="30"/>
      <x:c r="K115" s="30"/>
      <x:c r="L115" s="30"/>
      <x:c r="M115" s="30"/>
      <x:c r="N115" s="30"/>
      <x:c r="O115" s="30"/>
      <x:c r="P115" s="30"/>
      <x:c r="R115" s="160" t="str">
        <x:f>IF(A115="","",A115)</x:f>
      </x:c>
      <x:c r="S115" s="126" t="str">
        <x:f>IF(B115="","",B115)</x:f>
      </x:c>
      <x:c r="T115" s="36" t="str">
        <x:f>IF(S115="","",IFERROR(INDEX('02_Öğrenciler'!$B$5:$B$203,MATCH(S115,'02_Öğrenciler'!$A$5:$A$203,0)),"KOD HATALI"))</x:f>
      </x:c>
      <x:c r="U115" s="36" t="str">
        <x:f>IF(S115="","",IFERROR(INDEX('02_Öğrenciler'!$C$5:$C$203,MATCH(S115,'02_Öğrenciler'!$A$5:$A$203,0)),""))</x:f>
      </x:c>
      <x:c r="V115" s="132" t="str">
        <x:f>IF(C115="","",C115)</x:f>
      </x:c>
      <x:c r="W115" s="36" t="str">
        <x:f>IF(D115="","",D115)</x:f>
      </x:c>
      <x:c r="X115" s="36" t="str">
        <x:f>IF(E115="","",E115)</x:f>
      </x:c>
      <x:c r="Y115" s="36" t="str">
        <x:f>IF(F115="","",F115)</x:f>
      </x:c>
      <x:c r="Z115" s="36" t="str">
        <x:f>IF(G115="","",G115)</x:f>
      </x:c>
      <x:c r="AA115" s="36" t="str">
        <x:f>IF(OR(Y115="",Z115=""),"",Y115-Z115)</x:f>
      </x:c>
      <x:c r="AB115" s="52" t="str">
        <x:f>IF(OR(Y115="",Z115=""),"",IFERROR(Z115/Y115,0))</x:f>
      </x:c>
      <x:c r="AC115" s="36" t="str">
        <x:f>IF(H115="","",H115)</x:f>
      </x:c>
      <x:c r="AD115" s="132" t="str">
        <x:f>IF(I115="","",I115)</x:f>
      </x:c>
      <x:c r="AE115" s="36" t="str">
        <x:f>IF(J115="","",J115)</x:f>
      </x:c>
      <x:c r="AF115" s="36" t="str">
        <x:f>IF(K115="","",K115)</x:f>
      </x:c>
      <x:c r="AG115" s="36" t="str">
        <x:f>IF(L115="","",L115)</x:f>
      </x:c>
      <x:c r="AH115" s="36" t="str">
        <x:f>IF(M115="","",M115)</x:f>
      </x:c>
      <x:c r="AI115" s="36" t="str">
        <x:f>IF(N115="","",N115)</x:f>
      </x:c>
      <x:c r="AJ115" s="36" t="str">
        <x:f>IF(O115="","",O115)</x:f>
      </x:c>
      <x:c r="AK115" s="36" t="str">
        <x:f>IF(P115="","",P115)</x:f>
      </x:c>
      <x:c r="AL115" s="36" t="str">
        <x:f>IF(R115="","",TEXT(R115,"yyyymmddhhmmss")&amp;"-"&amp;S115&amp;"-"&amp;TEXT(ROW()-4,"0000"))</x:f>
      </x:c>
      <x:c r="AM115" s="36" t="str">
        <x:f>IF(R115="","",IF(T115="KOD HATALI","Öğrenci Kodu Hatalı",IF(OR(V115="",W115="",X115="",Y115="",Z115="",AF115="",AG115="",AJ115="",AK115=""),"Eksik Zorunlu Alan",IF(OR(Y115&lt;0,Z115&lt;0,Z115&gt;Y115),"Soru Sayısı Hatası",IF(AND(AD115&lt;&gt;"",AD115&lt;V115),"Ödev Tarihi Hatası",IF(COUNTIF($AL$5:AL115,AL115)&gt;1,"Mükerrer Form Kaydı","Aktarıma Hazır"))))))</x:f>
      </x:c>
      <x:c r="AN115" s="30"/>
      <x:c r="AO115" s="40"/>
      <x:c r="AP115" s="30"/>
    </x:row>
    <x:row r="116">
      <x:c r="A116" s="158"/>
      <x:c r="B116" s="44"/>
      <x:c r="C116" s="40"/>
      <x:c r="D116" s="30"/>
      <x:c r="E116" s="30"/>
      <x:c r="F116" s="30"/>
      <x:c r="G116" s="30"/>
      <x:c r="H116" s="30"/>
      <x:c r="I116" s="40"/>
      <x:c r="J116" s="30"/>
      <x:c r="K116" s="30"/>
      <x:c r="L116" s="30"/>
      <x:c r="M116" s="30"/>
      <x:c r="N116" s="30"/>
      <x:c r="O116" s="30"/>
      <x:c r="P116" s="30"/>
      <x:c r="R116" s="160" t="str">
        <x:f>IF(A116="","",A116)</x:f>
      </x:c>
      <x:c r="S116" s="126" t="str">
        <x:f>IF(B116="","",B116)</x:f>
      </x:c>
      <x:c r="T116" s="36" t="str">
        <x:f>IF(S116="","",IFERROR(INDEX('02_Öğrenciler'!$B$5:$B$203,MATCH(S116,'02_Öğrenciler'!$A$5:$A$203,0)),"KOD HATALI"))</x:f>
      </x:c>
      <x:c r="U116" s="36" t="str">
        <x:f>IF(S116="","",IFERROR(INDEX('02_Öğrenciler'!$C$5:$C$203,MATCH(S116,'02_Öğrenciler'!$A$5:$A$203,0)),""))</x:f>
      </x:c>
      <x:c r="V116" s="132" t="str">
        <x:f>IF(C116="","",C116)</x:f>
      </x:c>
      <x:c r="W116" s="36" t="str">
        <x:f>IF(D116="","",D116)</x:f>
      </x:c>
      <x:c r="X116" s="36" t="str">
        <x:f>IF(E116="","",E116)</x:f>
      </x:c>
      <x:c r="Y116" s="36" t="str">
        <x:f>IF(F116="","",F116)</x:f>
      </x:c>
      <x:c r="Z116" s="36" t="str">
        <x:f>IF(G116="","",G116)</x:f>
      </x:c>
      <x:c r="AA116" s="36" t="str">
        <x:f>IF(OR(Y116="",Z116=""),"",Y116-Z116)</x:f>
      </x:c>
      <x:c r="AB116" s="52" t="str">
        <x:f>IF(OR(Y116="",Z116=""),"",IFERROR(Z116/Y116,0))</x:f>
      </x:c>
      <x:c r="AC116" s="36" t="str">
        <x:f>IF(H116="","",H116)</x:f>
      </x:c>
      <x:c r="AD116" s="132" t="str">
        <x:f>IF(I116="","",I116)</x:f>
      </x:c>
      <x:c r="AE116" s="36" t="str">
        <x:f>IF(J116="","",J116)</x:f>
      </x:c>
      <x:c r="AF116" s="36" t="str">
        <x:f>IF(K116="","",K116)</x:f>
      </x:c>
      <x:c r="AG116" s="36" t="str">
        <x:f>IF(L116="","",L116)</x:f>
      </x:c>
      <x:c r="AH116" s="36" t="str">
        <x:f>IF(M116="","",M116)</x:f>
      </x:c>
      <x:c r="AI116" s="36" t="str">
        <x:f>IF(N116="","",N116)</x:f>
      </x:c>
      <x:c r="AJ116" s="36" t="str">
        <x:f>IF(O116="","",O116)</x:f>
      </x:c>
      <x:c r="AK116" s="36" t="str">
        <x:f>IF(P116="","",P116)</x:f>
      </x:c>
      <x:c r="AL116" s="36" t="str">
        <x:f>IF(R116="","",TEXT(R116,"yyyymmddhhmmss")&amp;"-"&amp;S116&amp;"-"&amp;TEXT(ROW()-4,"0000"))</x:f>
      </x:c>
      <x:c r="AM116" s="36" t="str">
        <x:f>IF(R116="","",IF(T116="KOD HATALI","Öğrenci Kodu Hatalı",IF(OR(V116="",W116="",X116="",Y116="",Z116="",AF116="",AG116="",AJ116="",AK116=""),"Eksik Zorunlu Alan",IF(OR(Y116&lt;0,Z116&lt;0,Z116&gt;Y116),"Soru Sayısı Hatası",IF(AND(AD116&lt;&gt;"",AD116&lt;V116),"Ödev Tarihi Hatası",IF(COUNTIF($AL$5:AL116,AL116)&gt;1,"Mükerrer Form Kaydı","Aktarıma Hazır"))))))</x:f>
      </x:c>
      <x:c r="AN116" s="30"/>
      <x:c r="AO116" s="40"/>
      <x:c r="AP116" s="30"/>
    </x:row>
    <x:row r="117">
      <x:c r="A117" s="158"/>
      <x:c r="B117" s="44"/>
      <x:c r="C117" s="40"/>
      <x:c r="D117" s="30"/>
      <x:c r="E117" s="30"/>
      <x:c r="F117" s="30"/>
      <x:c r="G117" s="30"/>
      <x:c r="H117" s="30"/>
      <x:c r="I117" s="40"/>
      <x:c r="J117" s="30"/>
      <x:c r="K117" s="30"/>
      <x:c r="L117" s="30"/>
      <x:c r="M117" s="30"/>
      <x:c r="N117" s="30"/>
      <x:c r="O117" s="30"/>
      <x:c r="P117" s="30"/>
      <x:c r="R117" s="160" t="str">
        <x:f>IF(A117="","",A117)</x:f>
      </x:c>
      <x:c r="S117" s="126" t="str">
        <x:f>IF(B117="","",B117)</x:f>
      </x:c>
      <x:c r="T117" s="36" t="str">
        <x:f>IF(S117="","",IFERROR(INDEX('02_Öğrenciler'!$B$5:$B$203,MATCH(S117,'02_Öğrenciler'!$A$5:$A$203,0)),"KOD HATALI"))</x:f>
      </x:c>
      <x:c r="U117" s="36" t="str">
        <x:f>IF(S117="","",IFERROR(INDEX('02_Öğrenciler'!$C$5:$C$203,MATCH(S117,'02_Öğrenciler'!$A$5:$A$203,0)),""))</x:f>
      </x:c>
      <x:c r="V117" s="132" t="str">
        <x:f>IF(C117="","",C117)</x:f>
      </x:c>
      <x:c r="W117" s="36" t="str">
        <x:f>IF(D117="","",D117)</x:f>
      </x:c>
      <x:c r="X117" s="36" t="str">
        <x:f>IF(E117="","",E117)</x:f>
      </x:c>
      <x:c r="Y117" s="36" t="str">
        <x:f>IF(F117="","",F117)</x:f>
      </x:c>
      <x:c r="Z117" s="36" t="str">
        <x:f>IF(G117="","",G117)</x:f>
      </x:c>
      <x:c r="AA117" s="36" t="str">
        <x:f>IF(OR(Y117="",Z117=""),"",Y117-Z117)</x:f>
      </x:c>
      <x:c r="AB117" s="52" t="str">
        <x:f>IF(OR(Y117="",Z117=""),"",IFERROR(Z117/Y117,0))</x:f>
      </x:c>
      <x:c r="AC117" s="36" t="str">
        <x:f>IF(H117="","",H117)</x:f>
      </x:c>
      <x:c r="AD117" s="132" t="str">
        <x:f>IF(I117="","",I117)</x:f>
      </x:c>
      <x:c r="AE117" s="36" t="str">
        <x:f>IF(J117="","",J117)</x:f>
      </x:c>
      <x:c r="AF117" s="36" t="str">
        <x:f>IF(K117="","",K117)</x:f>
      </x:c>
      <x:c r="AG117" s="36" t="str">
        <x:f>IF(L117="","",L117)</x:f>
      </x:c>
      <x:c r="AH117" s="36" t="str">
        <x:f>IF(M117="","",M117)</x:f>
      </x:c>
      <x:c r="AI117" s="36" t="str">
        <x:f>IF(N117="","",N117)</x:f>
      </x:c>
      <x:c r="AJ117" s="36" t="str">
        <x:f>IF(O117="","",O117)</x:f>
      </x:c>
      <x:c r="AK117" s="36" t="str">
        <x:f>IF(P117="","",P117)</x:f>
      </x:c>
      <x:c r="AL117" s="36" t="str">
        <x:f>IF(R117="","",TEXT(R117,"yyyymmddhhmmss")&amp;"-"&amp;S117&amp;"-"&amp;TEXT(ROW()-4,"0000"))</x:f>
      </x:c>
      <x:c r="AM117" s="36" t="str">
        <x:f>IF(R117="","",IF(T117="KOD HATALI","Öğrenci Kodu Hatalı",IF(OR(V117="",W117="",X117="",Y117="",Z117="",AF117="",AG117="",AJ117="",AK117=""),"Eksik Zorunlu Alan",IF(OR(Y117&lt;0,Z117&lt;0,Z117&gt;Y117),"Soru Sayısı Hatası",IF(AND(AD117&lt;&gt;"",AD117&lt;V117),"Ödev Tarihi Hatası",IF(COUNTIF($AL$5:AL117,AL117)&gt;1,"Mükerrer Form Kaydı","Aktarıma Hazır"))))))</x:f>
      </x:c>
      <x:c r="AN117" s="30"/>
      <x:c r="AO117" s="40"/>
      <x:c r="AP117" s="30"/>
    </x:row>
    <x:row r="118">
      <x:c r="A118" s="158"/>
      <x:c r="B118" s="44"/>
      <x:c r="C118" s="40"/>
      <x:c r="D118" s="30"/>
      <x:c r="E118" s="30"/>
      <x:c r="F118" s="30"/>
      <x:c r="G118" s="30"/>
      <x:c r="H118" s="30"/>
      <x:c r="I118" s="40"/>
      <x:c r="J118" s="30"/>
      <x:c r="K118" s="30"/>
      <x:c r="L118" s="30"/>
      <x:c r="M118" s="30"/>
      <x:c r="N118" s="30"/>
      <x:c r="O118" s="30"/>
      <x:c r="P118" s="30"/>
      <x:c r="R118" s="160" t="str">
        <x:f>IF(A118="","",A118)</x:f>
      </x:c>
      <x:c r="S118" s="126" t="str">
        <x:f>IF(B118="","",B118)</x:f>
      </x:c>
      <x:c r="T118" s="36" t="str">
        <x:f>IF(S118="","",IFERROR(INDEX('02_Öğrenciler'!$B$5:$B$203,MATCH(S118,'02_Öğrenciler'!$A$5:$A$203,0)),"KOD HATALI"))</x:f>
      </x:c>
      <x:c r="U118" s="36" t="str">
        <x:f>IF(S118="","",IFERROR(INDEX('02_Öğrenciler'!$C$5:$C$203,MATCH(S118,'02_Öğrenciler'!$A$5:$A$203,0)),""))</x:f>
      </x:c>
      <x:c r="V118" s="132" t="str">
        <x:f>IF(C118="","",C118)</x:f>
      </x:c>
      <x:c r="W118" s="36" t="str">
        <x:f>IF(D118="","",D118)</x:f>
      </x:c>
      <x:c r="X118" s="36" t="str">
        <x:f>IF(E118="","",E118)</x:f>
      </x:c>
      <x:c r="Y118" s="36" t="str">
        <x:f>IF(F118="","",F118)</x:f>
      </x:c>
      <x:c r="Z118" s="36" t="str">
        <x:f>IF(G118="","",G118)</x:f>
      </x:c>
      <x:c r="AA118" s="36" t="str">
        <x:f>IF(OR(Y118="",Z118=""),"",Y118-Z118)</x:f>
      </x:c>
      <x:c r="AB118" s="52" t="str">
        <x:f>IF(OR(Y118="",Z118=""),"",IFERROR(Z118/Y118,0))</x:f>
      </x:c>
      <x:c r="AC118" s="36" t="str">
        <x:f>IF(H118="","",H118)</x:f>
      </x:c>
      <x:c r="AD118" s="132" t="str">
        <x:f>IF(I118="","",I118)</x:f>
      </x:c>
      <x:c r="AE118" s="36" t="str">
        <x:f>IF(J118="","",J118)</x:f>
      </x:c>
      <x:c r="AF118" s="36" t="str">
        <x:f>IF(K118="","",K118)</x:f>
      </x:c>
      <x:c r="AG118" s="36" t="str">
        <x:f>IF(L118="","",L118)</x:f>
      </x:c>
      <x:c r="AH118" s="36" t="str">
        <x:f>IF(M118="","",M118)</x:f>
      </x:c>
      <x:c r="AI118" s="36" t="str">
        <x:f>IF(N118="","",N118)</x:f>
      </x:c>
      <x:c r="AJ118" s="36" t="str">
        <x:f>IF(O118="","",O118)</x:f>
      </x:c>
      <x:c r="AK118" s="36" t="str">
        <x:f>IF(P118="","",P118)</x:f>
      </x:c>
      <x:c r="AL118" s="36" t="str">
        <x:f>IF(R118="","",TEXT(R118,"yyyymmddhhmmss")&amp;"-"&amp;S118&amp;"-"&amp;TEXT(ROW()-4,"0000"))</x:f>
      </x:c>
      <x:c r="AM118" s="36" t="str">
        <x:f>IF(R118="","",IF(T118="KOD HATALI","Öğrenci Kodu Hatalı",IF(OR(V118="",W118="",X118="",Y118="",Z118="",AF118="",AG118="",AJ118="",AK118=""),"Eksik Zorunlu Alan",IF(OR(Y118&lt;0,Z118&lt;0,Z118&gt;Y118),"Soru Sayısı Hatası",IF(AND(AD118&lt;&gt;"",AD118&lt;V118),"Ödev Tarihi Hatası",IF(COUNTIF($AL$5:AL118,AL118)&gt;1,"Mükerrer Form Kaydı","Aktarıma Hazır"))))))</x:f>
      </x:c>
      <x:c r="AN118" s="30"/>
      <x:c r="AO118" s="40"/>
      <x:c r="AP118" s="30"/>
    </x:row>
    <x:row r="119">
      <x:c r="A119" s="158"/>
      <x:c r="B119" s="44"/>
      <x:c r="C119" s="40"/>
      <x:c r="D119" s="30"/>
      <x:c r="E119" s="30"/>
      <x:c r="F119" s="30"/>
      <x:c r="G119" s="30"/>
      <x:c r="H119" s="30"/>
      <x:c r="I119" s="40"/>
      <x:c r="J119" s="30"/>
      <x:c r="K119" s="30"/>
      <x:c r="L119" s="30"/>
      <x:c r="M119" s="30"/>
      <x:c r="N119" s="30"/>
      <x:c r="O119" s="30"/>
      <x:c r="P119" s="30"/>
      <x:c r="R119" s="160" t="str">
        <x:f>IF(A119="","",A119)</x:f>
      </x:c>
      <x:c r="S119" s="126" t="str">
        <x:f>IF(B119="","",B119)</x:f>
      </x:c>
      <x:c r="T119" s="36" t="str">
        <x:f>IF(S119="","",IFERROR(INDEX('02_Öğrenciler'!$B$5:$B$203,MATCH(S119,'02_Öğrenciler'!$A$5:$A$203,0)),"KOD HATALI"))</x:f>
      </x:c>
      <x:c r="U119" s="36" t="str">
        <x:f>IF(S119="","",IFERROR(INDEX('02_Öğrenciler'!$C$5:$C$203,MATCH(S119,'02_Öğrenciler'!$A$5:$A$203,0)),""))</x:f>
      </x:c>
      <x:c r="V119" s="132" t="str">
        <x:f>IF(C119="","",C119)</x:f>
      </x:c>
      <x:c r="W119" s="36" t="str">
        <x:f>IF(D119="","",D119)</x:f>
      </x:c>
      <x:c r="X119" s="36" t="str">
        <x:f>IF(E119="","",E119)</x:f>
      </x:c>
      <x:c r="Y119" s="36" t="str">
        <x:f>IF(F119="","",F119)</x:f>
      </x:c>
      <x:c r="Z119" s="36" t="str">
        <x:f>IF(G119="","",G119)</x:f>
      </x:c>
      <x:c r="AA119" s="36" t="str">
        <x:f>IF(OR(Y119="",Z119=""),"",Y119-Z119)</x:f>
      </x:c>
      <x:c r="AB119" s="52" t="str">
        <x:f>IF(OR(Y119="",Z119=""),"",IFERROR(Z119/Y119,0))</x:f>
      </x:c>
      <x:c r="AC119" s="36" t="str">
        <x:f>IF(H119="","",H119)</x:f>
      </x:c>
      <x:c r="AD119" s="132" t="str">
        <x:f>IF(I119="","",I119)</x:f>
      </x:c>
      <x:c r="AE119" s="36" t="str">
        <x:f>IF(J119="","",J119)</x:f>
      </x:c>
      <x:c r="AF119" s="36" t="str">
        <x:f>IF(K119="","",K119)</x:f>
      </x:c>
      <x:c r="AG119" s="36" t="str">
        <x:f>IF(L119="","",L119)</x:f>
      </x:c>
      <x:c r="AH119" s="36" t="str">
        <x:f>IF(M119="","",M119)</x:f>
      </x:c>
      <x:c r="AI119" s="36" t="str">
        <x:f>IF(N119="","",N119)</x:f>
      </x:c>
      <x:c r="AJ119" s="36" t="str">
        <x:f>IF(O119="","",O119)</x:f>
      </x:c>
      <x:c r="AK119" s="36" t="str">
        <x:f>IF(P119="","",P119)</x:f>
      </x:c>
      <x:c r="AL119" s="36" t="str">
        <x:f>IF(R119="","",TEXT(R119,"yyyymmddhhmmss")&amp;"-"&amp;S119&amp;"-"&amp;TEXT(ROW()-4,"0000"))</x:f>
      </x:c>
      <x:c r="AM119" s="36" t="str">
        <x:f>IF(R119="","",IF(T119="KOD HATALI","Öğrenci Kodu Hatalı",IF(OR(V119="",W119="",X119="",Y119="",Z119="",AF119="",AG119="",AJ119="",AK119=""),"Eksik Zorunlu Alan",IF(OR(Y119&lt;0,Z119&lt;0,Z119&gt;Y119),"Soru Sayısı Hatası",IF(AND(AD119&lt;&gt;"",AD119&lt;V119),"Ödev Tarihi Hatası",IF(COUNTIF($AL$5:AL119,AL119)&gt;1,"Mükerrer Form Kaydı","Aktarıma Hazır"))))))</x:f>
      </x:c>
      <x:c r="AN119" s="30"/>
      <x:c r="AO119" s="40"/>
      <x:c r="AP119" s="30"/>
    </x:row>
    <x:row r="120">
      <x:c r="A120" s="158"/>
      <x:c r="B120" s="44"/>
      <x:c r="C120" s="40"/>
      <x:c r="D120" s="30"/>
      <x:c r="E120" s="30"/>
      <x:c r="F120" s="30"/>
      <x:c r="G120" s="30"/>
      <x:c r="H120" s="30"/>
      <x:c r="I120" s="40"/>
      <x:c r="J120" s="30"/>
      <x:c r="K120" s="30"/>
      <x:c r="L120" s="30"/>
      <x:c r="M120" s="30"/>
      <x:c r="N120" s="30"/>
      <x:c r="O120" s="30"/>
      <x:c r="P120" s="30"/>
      <x:c r="R120" s="160" t="str">
        <x:f>IF(A120="","",A120)</x:f>
      </x:c>
      <x:c r="S120" s="126" t="str">
        <x:f>IF(B120="","",B120)</x:f>
      </x:c>
      <x:c r="T120" s="36" t="str">
        <x:f>IF(S120="","",IFERROR(INDEX('02_Öğrenciler'!$B$5:$B$203,MATCH(S120,'02_Öğrenciler'!$A$5:$A$203,0)),"KOD HATALI"))</x:f>
      </x:c>
      <x:c r="U120" s="36" t="str">
        <x:f>IF(S120="","",IFERROR(INDEX('02_Öğrenciler'!$C$5:$C$203,MATCH(S120,'02_Öğrenciler'!$A$5:$A$203,0)),""))</x:f>
      </x:c>
      <x:c r="V120" s="132" t="str">
        <x:f>IF(C120="","",C120)</x:f>
      </x:c>
      <x:c r="W120" s="36" t="str">
        <x:f>IF(D120="","",D120)</x:f>
      </x:c>
      <x:c r="X120" s="36" t="str">
        <x:f>IF(E120="","",E120)</x:f>
      </x:c>
      <x:c r="Y120" s="36" t="str">
        <x:f>IF(F120="","",F120)</x:f>
      </x:c>
      <x:c r="Z120" s="36" t="str">
        <x:f>IF(G120="","",G120)</x:f>
      </x:c>
      <x:c r="AA120" s="36" t="str">
        <x:f>IF(OR(Y120="",Z120=""),"",Y120-Z120)</x:f>
      </x:c>
      <x:c r="AB120" s="52" t="str">
        <x:f>IF(OR(Y120="",Z120=""),"",IFERROR(Z120/Y120,0))</x:f>
      </x:c>
      <x:c r="AC120" s="36" t="str">
        <x:f>IF(H120="","",H120)</x:f>
      </x:c>
      <x:c r="AD120" s="132" t="str">
        <x:f>IF(I120="","",I120)</x:f>
      </x:c>
      <x:c r="AE120" s="36" t="str">
        <x:f>IF(J120="","",J120)</x:f>
      </x:c>
      <x:c r="AF120" s="36" t="str">
        <x:f>IF(K120="","",K120)</x:f>
      </x:c>
      <x:c r="AG120" s="36" t="str">
        <x:f>IF(L120="","",L120)</x:f>
      </x:c>
      <x:c r="AH120" s="36" t="str">
        <x:f>IF(M120="","",M120)</x:f>
      </x:c>
      <x:c r="AI120" s="36" t="str">
        <x:f>IF(N120="","",N120)</x:f>
      </x:c>
      <x:c r="AJ120" s="36" t="str">
        <x:f>IF(O120="","",O120)</x:f>
      </x:c>
      <x:c r="AK120" s="36" t="str">
        <x:f>IF(P120="","",P120)</x:f>
      </x:c>
      <x:c r="AL120" s="36" t="str">
        <x:f>IF(R120="","",TEXT(R120,"yyyymmddhhmmss")&amp;"-"&amp;S120&amp;"-"&amp;TEXT(ROW()-4,"0000"))</x:f>
      </x:c>
      <x:c r="AM120" s="36" t="str">
        <x:f>IF(R120="","",IF(T120="KOD HATALI","Öğrenci Kodu Hatalı",IF(OR(V120="",W120="",X120="",Y120="",Z120="",AF120="",AG120="",AJ120="",AK120=""),"Eksik Zorunlu Alan",IF(OR(Y120&lt;0,Z120&lt;0,Z120&gt;Y120),"Soru Sayısı Hatası",IF(AND(AD120&lt;&gt;"",AD120&lt;V120),"Ödev Tarihi Hatası",IF(COUNTIF($AL$5:AL120,AL120)&gt;1,"Mükerrer Form Kaydı","Aktarıma Hazır"))))))</x:f>
      </x:c>
      <x:c r="AN120" s="30"/>
      <x:c r="AO120" s="40"/>
      <x:c r="AP120" s="30"/>
    </x:row>
    <x:row r="121">
      <x:c r="A121" s="158"/>
      <x:c r="B121" s="44"/>
      <x:c r="C121" s="40"/>
      <x:c r="D121" s="30"/>
      <x:c r="E121" s="30"/>
      <x:c r="F121" s="30"/>
      <x:c r="G121" s="30"/>
      <x:c r="H121" s="30"/>
      <x:c r="I121" s="40"/>
      <x:c r="J121" s="30"/>
      <x:c r="K121" s="30"/>
      <x:c r="L121" s="30"/>
      <x:c r="M121" s="30"/>
      <x:c r="N121" s="30"/>
      <x:c r="O121" s="30"/>
      <x:c r="P121" s="30"/>
      <x:c r="R121" s="160" t="str">
        <x:f>IF(A121="","",A121)</x:f>
      </x:c>
      <x:c r="S121" s="126" t="str">
        <x:f>IF(B121="","",B121)</x:f>
      </x:c>
      <x:c r="T121" s="36" t="str">
        <x:f>IF(S121="","",IFERROR(INDEX('02_Öğrenciler'!$B$5:$B$203,MATCH(S121,'02_Öğrenciler'!$A$5:$A$203,0)),"KOD HATALI"))</x:f>
      </x:c>
      <x:c r="U121" s="36" t="str">
        <x:f>IF(S121="","",IFERROR(INDEX('02_Öğrenciler'!$C$5:$C$203,MATCH(S121,'02_Öğrenciler'!$A$5:$A$203,0)),""))</x:f>
      </x:c>
      <x:c r="V121" s="132" t="str">
        <x:f>IF(C121="","",C121)</x:f>
      </x:c>
      <x:c r="W121" s="36" t="str">
        <x:f>IF(D121="","",D121)</x:f>
      </x:c>
      <x:c r="X121" s="36" t="str">
        <x:f>IF(E121="","",E121)</x:f>
      </x:c>
      <x:c r="Y121" s="36" t="str">
        <x:f>IF(F121="","",F121)</x:f>
      </x:c>
      <x:c r="Z121" s="36" t="str">
        <x:f>IF(G121="","",G121)</x:f>
      </x:c>
      <x:c r="AA121" s="36" t="str">
        <x:f>IF(OR(Y121="",Z121=""),"",Y121-Z121)</x:f>
      </x:c>
      <x:c r="AB121" s="52" t="str">
        <x:f>IF(OR(Y121="",Z121=""),"",IFERROR(Z121/Y121,0))</x:f>
      </x:c>
      <x:c r="AC121" s="36" t="str">
        <x:f>IF(H121="","",H121)</x:f>
      </x:c>
      <x:c r="AD121" s="132" t="str">
        <x:f>IF(I121="","",I121)</x:f>
      </x:c>
      <x:c r="AE121" s="36" t="str">
        <x:f>IF(J121="","",J121)</x:f>
      </x:c>
      <x:c r="AF121" s="36" t="str">
        <x:f>IF(K121="","",K121)</x:f>
      </x:c>
      <x:c r="AG121" s="36" t="str">
        <x:f>IF(L121="","",L121)</x:f>
      </x:c>
      <x:c r="AH121" s="36" t="str">
        <x:f>IF(M121="","",M121)</x:f>
      </x:c>
      <x:c r="AI121" s="36" t="str">
        <x:f>IF(N121="","",N121)</x:f>
      </x:c>
      <x:c r="AJ121" s="36" t="str">
        <x:f>IF(O121="","",O121)</x:f>
      </x:c>
      <x:c r="AK121" s="36" t="str">
        <x:f>IF(P121="","",P121)</x:f>
      </x:c>
      <x:c r="AL121" s="36" t="str">
        <x:f>IF(R121="","",TEXT(R121,"yyyymmddhhmmss")&amp;"-"&amp;S121&amp;"-"&amp;TEXT(ROW()-4,"0000"))</x:f>
      </x:c>
      <x:c r="AM121" s="36" t="str">
        <x:f>IF(R121="","",IF(T121="KOD HATALI","Öğrenci Kodu Hatalı",IF(OR(V121="",W121="",X121="",Y121="",Z121="",AF121="",AG121="",AJ121="",AK121=""),"Eksik Zorunlu Alan",IF(OR(Y121&lt;0,Z121&lt;0,Z121&gt;Y121),"Soru Sayısı Hatası",IF(AND(AD121&lt;&gt;"",AD121&lt;V121),"Ödev Tarihi Hatası",IF(COUNTIF($AL$5:AL121,AL121)&gt;1,"Mükerrer Form Kaydı","Aktarıma Hazır"))))))</x:f>
      </x:c>
      <x:c r="AN121" s="30"/>
      <x:c r="AO121" s="40"/>
      <x:c r="AP121" s="30"/>
    </x:row>
    <x:row r="122">
      <x:c r="A122" s="158"/>
      <x:c r="B122" s="44"/>
      <x:c r="C122" s="40"/>
      <x:c r="D122" s="30"/>
      <x:c r="E122" s="30"/>
      <x:c r="F122" s="30"/>
      <x:c r="G122" s="30"/>
      <x:c r="H122" s="30"/>
      <x:c r="I122" s="40"/>
      <x:c r="J122" s="30"/>
      <x:c r="K122" s="30"/>
      <x:c r="L122" s="30"/>
      <x:c r="M122" s="30"/>
      <x:c r="N122" s="30"/>
      <x:c r="O122" s="30"/>
      <x:c r="P122" s="30"/>
      <x:c r="R122" s="160" t="str">
        <x:f>IF(A122="","",A122)</x:f>
      </x:c>
      <x:c r="S122" s="126" t="str">
        <x:f>IF(B122="","",B122)</x:f>
      </x:c>
      <x:c r="T122" s="36" t="str">
        <x:f>IF(S122="","",IFERROR(INDEX('02_Öğrenciler'!$B$5:$B$203,MATCH(S122,'02_Öğrenciler'!$A$5:$A$203,0)),"KOD HATALI"))</x:f>
      </x:c>
      <x:c r="U122" s="36" t="str">
        <x:f>IF(S122="","",IFERROR(INDEX('02_Öğrenciler'!$C$5:$C$203,MATCH(S122,'02_Öğrenciler'!$A$5:$A$203,0)),""))</x:f>
      </x:c>
      <x:c r="V122" s="132" t="str">
        <x:f>IF(C122="","",C122)</x:f>
      </x:c>
      <x:c r="W122" s="36" t="str">
        <x:f>IF(D122="","",D122)</x:f>
      </x:c>
      <x:c r="X122" s="36" t="str">
        <x:f>IF(E122="","",E122)</x:f>
      </x:c>
      <x:c r="Y122" s="36" t="str">
        <x:f>IF(F122="","",F122)</x:f>
      </x:c>
      <x:c r="Z122" s="36" t="str">
        <x:f>IF(G122="","",G122)</x:f>
      </x:c>
      <x:c r="AA122" s="36" t="str">
        <x:f>IF(OR(Y122="",Z122=""),"",Y122-Z122)</x:f>
      </x:c>
      <x:c r="AB122" s="52" t="str">
        <x:f>IF(OR(Y122="",Z122=""),"",IFERROR(Z122/Y122,0))</x:f>
      </x:c>
      <x:c r="AC122" s="36" t="str">
        <x:f>IF(H122="","",H122)</x:f>
      </x:c>
      <x:c r="AD122" s="132" t="str">
        <x:f>IF(I122="","",I122)</x:f>
      </x:c>
      <x:c r="AE122" s="36" t="str">
        <x:f>IF(J122="","",J122)</x:f>
      </x:c>
      <x:c r="AF122" s="36" t="str">
        <x:f>IF(K122="","",K122)</x:f>
      </x:c>
      <x:c r="AG122" s="36" t="str">
        <x:f>IF(L122="","",L122)</x:f>
      </x:c>
      <x:c r="AH122" s="36" t="str">
        <x:f>IF(M122="","",M122)</x:f>
      </x:c>
      <x:c r="AI122" s="36" t="str">
        <x:f>IF(N122="","",N122)</x:f>
      </x:c>
      <x:c r="AJ122" s="36" t="str">
        <x:f>IF(O122="","",O122)</x:f>
      </x:c>
      <x:c r="AK122" s="36" t="str">
        <x:f>IF(P122="","",P122)</x:f>
      </x:c>
      <x:c r="AL122" s="36" t="str">
        <x:f>IF(R122="","",TEXT(R122,"yyyymmddhhmmss")&amp;"-"&amp;S122&amp;"-"&amp;TEXT(ROW()-4,"0000"))</x:f>
      </x:c>
      <x:c r="AM122" s="36" t="str">
        <x:f>IF(R122="","",IF(T122="KOD HATALI","Öğrenci Kodu Hatalı",IF(OR(V122="",W122="",X122="",Y122="",Z122="",AF122="",AG122="",AJ122="",AK122=""),"Eksik Zorunlu Alan",IF(OR(Y122&lt;0,Z122&lt;0,Z122&gt;Y122),"Soru Sayısı Hatası",IF(AND(AD122&lt;&gt;"",AD122&lt;V122),"Ödev Tarihi Hatası",IF(COUNTIF($AL$5:AL122,AL122)&gt;1,"Mükerrer Form Kaydı","Aktarıma Hazır"))))))</x:f>
      </x:c>
      <x:c r="AN122" s="30"/>
      <x:c r="AO122" s="40"/>
      <x:c r="AP122" s="30"/>
    </x:row>
    <x:row r="123">
      <x:c r="A123" s="158"/>
      <x:c r="B123" s="44"/>
      <x:c r="C123" s="40"/>
      <x:c r="D123" s="30"/>
      <x:c r="E123" s="30"/>
      <x:c r="F123" s="30"/>
      <x:c r="G123" s="30"/>
      <x:c r="H123" s="30"/>
      <x:c r="I123" s="40"/>
      <x:c r="J123" s="30"/>
      <x:c r="K123" s="30"/>
      <x:c r="L123" s="30"/>
      <x:c r="M123" s="30"/>
      <x:c r="N123" s="30"/>
      <x:c r="O123" s="30"/>
      <x:c r="P123" s="30"/>
      <x:c r="R123" s="160" t="str">
        <x:f>IF(A123="","",A123)</x:f>
      </x:c>
      <x:c r="S123" s="126" t="str">
        <x:f>IF(B123="","",B123)</x:f>
      </x:c>
      <x:c r="T123" s="36" t="str">
        <x:f>IF(S123="","",IFERROR(INDEX('02_Öğrenciler'!$B$5:$B$203,MATCH(S123,'02_Öğrenciler'!$A$5:$A$203,0)),"KOD HATALI"))</x:f>
      </x:c>
      <x:c r="U123" s="36" t="str">
        <x:f>IF(S123="","",IFERROR(INDEX('02_Öğrenciler'!$C$5:$C$203,MATCH(S123,'02_Öğrenciler'!$A$5:$A$203,0)),""))</x:f>
      </x:c>
      <x:c r="V123" s="132" t="str">
        <x:f>IF(C123="","",C123)</x:f>
      </x:c>
      <x:c r="W123" s="36" t="str">
        <x:f>IF(D123="","",D123)</x:f>
      </x:c>
      <x:c r="X123" s="36" t="str">
        <x:f>IF(E123="","",E123)</x:f>
      </x:c>
      <x:c r="Y123" s="36" t="str">
        <x:f>IF(F123="","",F123)</x:f>
      </x:c>
      <x:c r="Z123" s="36" t="str">
        <x:f>IF(G123="","",G123)</x:f>
      </x:c>
      <x:c r="AA123" s="36" t="str">
        <x:f>IF(OR(Y123="",Z123=""),"",Y123-Z123)</x:f>
      </x:c>
      <x:c r="AB123" s="52" t="str">
        <x:f>IF(OR(Y123="",Z123=""),"",IFERROR(Z123/Y123,0))</x:f>
      </x:c>
      <x:c r="AC123" s="36" t="str">
        <x:f>IF(H123="","",H123)</x:f>
      </x:c>
      <x:c r="AD123" s="132" t="str">
        <x:f>IF(I123="","",I123)</x:f>
      </x:c>
      <x:c r="AE123" s="36" t="str">
        <x:f>IF(J123="","",J123)</x:f>
      </x:c>
      <x:c r="AF123" s="36" t="str">
        <x:f>IF(K123="","",K123)</x:f>
      </x:c>
      <x:c r="AG123" s="36" t="str">
        <x:f>IF(L123="","",L123)</x:f>
      </x:c>
      <x:c r="AH123" s="36" t="str">
        <x:f>IF(M123="","",M123)</x:f>
      </x:c>
      <x:c r="AI123" s="36" t="str">
        <x:f>IF(N123="","",N123)</x:f>
      </x:c>
      <x:c r="AJ123" s="36" t="str">
        <x:f>IF(O123="","",O123)</x:f>
      </x:c>
      <x:c r="AK123" s="36" t="str">
        <x:f>IF(P123="","",P123)</x:f>
      </x:c>
      <x:c r="AL123" s="36" t="str">
        <x:f>IF(R123="","",TEXT(R123,"yyyymmddhhmmss")&amp;"-"&amp;S123&amp;"-"&amp;TEXT(ROW()-4,"0000"))</x:f>
      </x:c>
      <x:c r="AM123" s="36" t="str">
        <x:f>IF(R123="","",IF(T123="KOD HATALI","Öğrenci Kodu Hatalı",IF(OR(V123="",W123="",X123="",Y123="",Z123="",AF123="",AG123="",AJ123="",AK123=""),"Eksik Zorunlu Alan",IF(OR(Y123&lt;0,Z123&lt;0,Z123&gt;Y123),"Soru Sayısı Hatası",IF(AND(AD123&lt;&gt;"",AD123&lt;V123),"Ödev Tarihi Hatası",IF(COUNTIF($AL$5:AL123,AL123)&gt;1,"Mükerrer Form Kaydı","Aktarıma Hazır"))))))</x:f>
      </x:c>
      <x:c r="AN123" s="30"/>
      <x:c r="AO123" s="40"/>
      <x:c r="AP123" s="30"/>
    </x:row>
    <x:row r="124">
      <x:c r="A124" s="158"/>
      <x:c r="B124" s="44"/>
      <x:c r="C124" s="40"/>
      <x:c r="D124" s="30"/>
      <x:c r="E124" s="30"/>
      <x:c r="F124" s="30"/>
      <x:c r="G124" s="30"/>
      <x:c r="H124" s="30"/>
      <x:c r="I124" s="40"/>
      <x:c r="J124" s="30"/>
      <x:c r="K124" s="30"/>
      <x:c r="L124" s="30"/>
      <x:c r="M124" s="30"/>
      <x:c r="N124" s="30"/>
      <x:c r="O124" s="30"/>
      <x:c r="P124" s="30"/>
      <x:c r="R124" s="160" t="str">
        <x:f>IF(A124="","",A124)</x:f>
      </x:c>
      <x:c r="S124" s="126" t="str">
        <x:f>IF(B124="","",B124)</x:f>
      </x:c>
      <x:c r="T124" s="36" t="str">
        <x:f>IF(S124="","",IFERROR(INDEX('02_Öğrenciler'!$B$5:$B$203,MATCH(S124,'02_Öğrenciler'!$A$5:$A$203,0)),"KOD HATALI"))</x:f>
      </x:c>
      <x:c r="U124" s="36" t="str">
        <x:f>IF(S124="","",IFERROR(INDEX('02_Öğrenciler'!$C$5:$C$203,MATCH(S124,'02_Öğrenciler'!$A$5:$A$203,0)),""))</x:f>
      </x:c>
      <x:c r="V124" s="132" t="str">
        <x:f>IF(C124="","",C124)</x:f>
      </x:c>
      <x:c r="W124" s="36" t="str">
        <x:f>IF(D124="","",D124)</x:f>
      </x:c>
      <x:c r="X124" s="36" t="str">
        <x:f>IF(E124="","",E124)</x:f>
      </x:c>
      <x:c r="Y124" s="36" t="str">
        <x:f>IF(F124="","",F124)</x:f>
      </x:c>
      <x:c r="Z124" s="36" t="str">
        <x:f>IF(G124="","",G124)</x:f>
      </x:c>
      <x:c r="AA124" s="36" t="str">
        <x:f>IF(OR(Y124="",Z124=""),"",Y124-Z124)</x:f>
      </x:c>
      <x:c r="AB124" s="52" t="str">
        <x:f>IF(OR(Y124="",Z124=""),"",IFERROR(Z124/Y124,0))</x:f>
      </x:c>
      <x:c r="AC124" s="36" t="str">
        <x:f>IF(H124="","",H124)</x:f>
      </x:c>
      <x:c r="AD124" s="132" t="str">
        <x:f>IF(I124="","",I124)</x:f>
      </x:c>
      <x:c r="AE124" s="36" t="str">
        <x:f>IF(J124="","",J124)</x:f>
      </x:c>
      <x:c r="AF124" s="36" t="str">
        <x:f>IF(K124="","",K124)</x:f>
      </x:c>
      <x:c r="AG124" s="36" t="str">
        <x:f>IF(L124="","",L124)</x:f>
      </x:c>
      <x:c r="AH124" s="36" t="str">
        <x:f>IF(M124="","",M124)</x:f>
      </x:c>
      <x:c r="AI124" s="36" t="str">
        <x:f>IF(N124="","",N124)</x:f>
      </x:c>
      <x:c r="AJ124" s="36" t="str">
        <x:f>IF(O124="","",O124)</x:f>
      </x:c>
      <x:c r="AK124" s="36" t="str">
        <x:f>IF(P124="","",P124)</x:f>
      </x:c>
      <x:c r="AL124" s="36" t="str">
        <x:f>IF(R124="","",TEXT(R124,"yyyymmddhhmmss")&amp;"-"&amp;S124&amp;"-"&amp;TEXT(ROW()-4,"0000"))</x:f>
      </x:c>
      <x:c r="AM124" s="36" t="str">
        <x:f>IF(R124="","",IF(T124="KOD HATALI","Öğrenci Kodu Hatalı",IF(OR(V124="",W124="",X124="",Y124="",Z124="",AF124="",AG124="",AJ124="",AK124=""),"Eksik Zorunlu Alan",IF(OR(Y124&lt;0,Z124&lt;0,Z124&gt;Y124),"Soru Sayısı Hatası",IF(AND(AD124&lt;&gt;"",AD124&lt;V124),"Ödev Tarihi Hatası",IF(COUNTIF($AL$5:AL124,AL124)&gt;1,"Mükerrer Form Kaydı","Aktarıma Hazır"))))))</x:f>
      </x:c>
      <x:c r="AN124" s="30"/>
      <x:c r="AO124" s="40"/>
      <x:c r="AP124" s="30"/>
    </x:row>
    <x:row r="125">
      <x:c r="A125" s="158"/>
      <x:c r="B125" s="44"/>
      <x:c r="C125" s="40"/>
      <x:c r="D125" s="30"/>
      <x:c r="E125" s="30"/>
      <x:c r="F125" s="30"/>
      <x:c r="G125" s="30"/>
      <x:c r="H125" s="30"/>
      <x:c r="I125" s="40"/>
      <x:c r="J125" s="30"/>
      <x:c r="K125" s="30"/>
      <x:c r="L125" s="30"/>
      <x:c r="M125" s="30"/>
      <x:c r="N125" s="30"/>
      <x:c r="O125" s="30"/>
      <x:c r="P125" s="30"/>
      <x:c r="R125" s="160" t="str">
        <x:f>IF(A125="","",A125)</x:f>
      </x:c>
      <x:c r="S125" s="126" t="str">
        <x:f>IF(B125="","",B125)</x:f>
      </x:c>
      <x:c r="T125" s="36" t="str">
        <x:f>IF(S125="","",IFERROR(INDEX('02_Öğrenciler'!$B$5:$B$203,MATCH(S125,'02_Öğrenciler'!$A$5:$A$203,0)),"KOD HATALI"))</x:f>
      </x:c>
      <x:c r="U125" s="36" t="str">
        <x:f>IF(S125="","",IFERROR(INDEX('02_Öğrenciler'!$C$5:$C$203,MATCH(S125,'02_Öğrenciler'!$A$5:$A$203,0)),""))</x:f>
      </x:c>
      <x:c r="V125" s="132" t="str">
        <x:f>IF(C125="","",C125)</x:f>
      </x:c>
      <x:c r="W125" s="36" t="str">
        <x:f>IF(D125="","",D125)</x:f>
      </x:c>
      <x:c r="X125" s="36" t="str">
        <x:f>IF(E125="","",E125)</x:f>
      </x:c>
      <x:c r="Y125" s="36" t="str">
        <x:f>IF(F125="","",F125)</x:f>
      </x:c>
      <x:c r="Z125" s="36" t="str">
        <x:f>IF(G125="","",G125)</x:f>
      </x:c>
      <x:c r="AA125" s="36" t="str">
        <x:f>IF(OR(Y125="",Z125=""),"",Y125-Z125)</x:f>
      </x:c>
      <x:c r="AB125" s="52" t="str">
        <x:f>IF(OR(Y125="",Z125=""),"",IFERROR(Z125/Y125,0))</x:f>
      </x:c>
      <x:c r="AC125" s="36" t="str">
        <x:f>IF(H125="","",H125)</x:f>
      </x:c>
      <x:c r="AD125" s="132" t="str">
        <x:f>IF(I125="","",I125)</x:f>
      </x:c>
      <x:c r="AE125" s="36" t="str">
        <x:f>IF(J125="","",J125)</x:f>
      </x:c>
      <x:c r="AF125" s="36" t="str">
        <x:f>IF(K125="","",K125)</x:f>
      </x:c>
      <x:c r="AG125" s="36" t="str">
        <x:f>IF(L125="","",L125)</x:f>
      </x:c>
      <x:c r="AH125" s="36" t="str">
        <x:f>IF(M125="","",M125)</x:f>
      </x:c>
      <x:c r="AI125" s="36" t="str">
        <x:f>IF(N125="","",N125)</x:f>
      </x:c>
      <x:c r="AJ125" s="36" t="str">
        <x:f>IF(O125="","",O125)</x:f>
      </x:c>
      <x:c r="AK125" s="36" t="str">
        <x:f>IF(P125="","",P125)</x:f>
      </x:c>
      <x:c r="AL125" s="36" t="str">
        <x:f>IF(R125="","",TEXT(R125,"yyyymmddhhmmss")&amp;"-"&amp;S125&amp;"-"&amp;TEXT(ROW()-4,"0000"))</x:f>
      </x:c>
      <x:c r="AM125" s="36" t="str">
        <x:f>IF(R125="","",IF(T125="KOD HATALI","Öğrenci Kodu Hatalı",IF(OR(V125="",W125="",X125="",Y125="",Z125="",AF125="",AG125="",AJ125="",AK125=""),"Eksik Zorunlu Alan",IF(OR(Y125&lt;0,Z125&lt;0,Z125&gt;Y125),"Soru Sayısı Hatası",IF(AND(AD125&lt;&gt;"",AD125&lt;V125),"Ödev Tarihi Hatası",IF(COUNTIF($AL$5:AL125,AL125)&gt;1,"Mükerrer Form Kaydı","Aktarıma Hazır"))))))</x:f>
      </x:c>
      <x:c r="AN125" s="30"/>
      <x:c r="AO125" s="40"/>
      <x:c r="AP125" s="30"/>
    </x:row>
    <x:row r="126">
      <x:c r="A126" s="158"/>
      <x:c r="B126" s="44"/>
      <x:c r="C126" s="40"/>
      <x:c r="D126" s="30"/>
      <x:c r="E126" s="30"/>
      <x:c r="F126" s="30"/>
      <x:c r="G126" s="30"/>
      <x:c r="H126" s="30"/>
      <x:c r="I126" s="40"/>
      <x:c r="J126" s="30"/>
      <x:c r="K126" s="30"/>
      <x:c r="L126" s="30"/>
      <x:c r="M126" s="30"/>
      <x:c r="N126" s="30"/>
      <x:c r="O126" s="30"/>
      <x:c r="P126" s="30"/>
      <x:c r="R126" s="160" t="str">
        <x:f>IF(A126="","",A126)</x:f>
      </x:c>
      <x:c r="S126" s="126" t="str">
        <x:f>IF(B126="","",B126)</x:f>
      </x:c>
      <x:c r="T126" s="36" t="str">
        <x:f>IF(S126="","",IFERROR(INDEX('02_Öğrenciler'!$B$5:$B$203,MATCH(S126,'02_Öğrenciler'!$A$5:$A$203,0)),"KOD HATALI"))</x:f>
      </x:c>
      <x:c r="U126" s="36" t="str">
        <x:f>IF(S126="","",IFERROR(INDEX('02_Öğrenciler'!$C$5:$C$203,MATCH(S126,'02_Öğrenciler'!$A$5:$A$203,0)),""))</x:f>
      </x:c>
      <x:c r="V126" s="132" t="str">
        <x:f>IF(C126="","",C126)</x:f>
      </x:c>
      <x:c r="W126" s="36" t="str">
        <x:f>IF(D126="","",D126)</x:f>
      </x:c>
      <x:c r="X126" s="36" t="str">
        <x:f>IF(E126="","",E126)</x:f>
      </x:c>
      <x:c r="Y126" s="36" t="str">
        <x:f>IF(F126="","",F126)</x:f>
      </x:c>
      <x:c r="Z126" s="36" t="str">
        <x:f>IF(G126="","",G126)</x:f>
      </x:c>
      <x:c r="AA126" s="36" t="str">
        <x:f>IF(OR(Y126="",Z126=""),"",Y126-Z126)</x:f>
      </x:c>
      <x:c r="AB126" s="52" t="str">
        <x:f>IF(OR(Y126="",Z126=""),"",IFERROR(Z126/Y126,0))</x:f>
      </x:c>
      <x:c r="AC126" s="36" t="str">
        <x:f>IF(H126="","",H126)</x:f>
      </x:c>
      <x:c r="AD126" s="132" t="str">
        <x:f>IF(I126="","",I126)</x:f>
      </x:c>
      <x:c r="AE126" s="36" t="str">
        <x:f>IF(J126="","",J126)</x:f>
      </x:c>
      <x:c r="AF126" s="36" t="str">
        <x:f>IF(K126="","",K126)</x:f>
      </x:c>
      <x:c r="AG126" s="36" t="str">
        <x:f>IF(L126="","",L126)</x:f>
      </x:c>
      <x:c r="AH126" s="36" t="str">
        <x:f>IF(M126="","",M126)</x:f>
      </x:c>
      <x:c r="AI126" s="36" t="str">
        <x:f>IF(N126="","",N126)</x:f>
      </x:c>
      <x:c r="AJ126" s="36" t="str">
        <x:f>IF(O126="","",O126)</x:f>
      </x:c>
      <x:c r="AK126" s="36" t="str">
        <x:f>IF(P126="","",P126)</x:f>
      </x:c>
      <x:c r="AL126" s="36" t="str">
        <x:f>IF(R126="","",TEXT(R126,"yyyymmddhhmmss")&amp;"-"&amp;S126&amp;"-"&amp;TEXT(ROW()-4,"0000"))</x:f>
      </x:c>
      <x:c r="AM126" s="36" t="str">
        <x:f>IF(R126="","",IF(T126="KOD HATALI","Öğrenci Kodu Hatalı",IF(OR(V126="",W126="",X126="",Y126="",Z126="",AF126="",AG126="",AJ126="",AK126=""),"Eksik Zorunlu Alan",IF(OR(Y126&lt;0,Z126&lt;0,Z126&gt;Y126),"Soru Sayısı Hatası",IF(AND(AD126&lt;&gt;"",AD126&lt;V126),"Ödev Tarihi Hatası",IF(COUNTIF($AL$5:AL126,AL126)&gt;1,"Mükerrer Form Kaydı","Aktarıma Hazır"))))))</x:f>
      </x:c>
      <x:c r="AN126" s="30"/>
      <x:c r="AO126" s="40"/>
      <x:c r="AP126" s="30"/>
    </x:row>
    <x:row r="127">
      <x:c r="A127" s="158"/>
      <x:c r="B127" s="44"/>
      <x:c r="C127" s="40"/>
      <x:c r="D127" s="30"/>
      <x:c r="E127" s="30"/>
      <x:c r="F127" s="30"/>
      <x:c r="G127" s="30"/>
      <x:c r="H127" s="30"/>
      <x:c r="I127" s="40"/>
      <x:c r="J127" s="30"/>
      <x:c r="K127" s="30"/>
      <x:c r="L127" s="30"/>
      <x:c r="M127" s="30"/>
      <x:c r="N127" s="30"/>
      <x:c r="O127" s="30"/>
      <x:c r="P127" s="30"/>
      <x:c r="R127" s="160" t="str">
        <x:f>IF(A127="","",A127)</x:f>
      </x:c>
      <x:c r="S127" s="126" t="str">
        <x:f>IF(B127="","",B127)</x:f>
      </x:c>
      <x:c r="T127" s="36" t="str">
        <x:f>IF(S127="","",IFERROR(INDEX('02_Öğrenciler'!$B$5:$B$203,MATCH(S127,'02_Öğrenciler'!$A$5:$A$203,0)),"KOD HATALI"))</x:f>
      </x:c>
      <x:c r="U127" s="36" t="str">
        <x:f>IF(S127="","",IFERROR(INDEX('02_Öğrenciler'!$C$5:$C$203,MATCH(S127,'02_Öğrenciler'!$A$5:$A$203,0)),""))</x:f>
      </x:c>
      <x:c r="V127" s="132" t="str">
        <x:f>IF(C127="","",C127)</x:f>
      </x:c>
      <x:c r="W127" s="36" t="str">
        <x:f>IF(D127="","",D127)</x:f>
      </x:c>
      <x:c r="X127" s="36" t="str">
        <x:f>IF(E127="","",E127)</x:f>
      </x:c>
      <x:c r="Y127" s="36" t="str">
        <x:f>IF(F127="","",F127)</x:f>
      </x:c>
      <x:c r="Z127" s="36" t="str">
        <x:f>IF(G127="","",G127)</x:f>
      </x:c>
      <x:c r="AA127" s="36" t="str">
        <x:f>IF(OR(Y127="",Z127=""),"",Y127-Z127)</x:f>
      </x:c>
      <x:c r="AB127" s="52" t="str">
        <x:f>IF(OR(Y127="",Z127=""),"",IFERROR(Z127/Y127,0))</x:f>
      </x:c>
      <x:c r="AC127" s="36" t="str">
        <x:f>IF(H127="","",H127)</x:f>
      </x:c>
      <x:c r="AD127" s="132" t="str">
        <x:f>IF(I127="","",I127)</x:f>
      </x:c>
      <x:c r="AE127" s="36" t="str">
        <x:f>IF(J127="","",J127)</x:f>
      </x:c>
      <x:c r="AF127" s="36" t="str">
        <x:f>IF(K127="","",K127)</x:f>
      </x:c>
      <x:c r="AG127" s="36" t="str">
        <x:f>IF(L127="","",L127)</x:f>
      </x:c>
      <x:c r="AH127" s="36" t="str">
        <x:f>IF(M127="","",M127)</x:f>
      </x:c>
      <x:c r="AI127" s="36" t="str">
        <x:f>IF(N127="","",N127)</x:f>
      </x:c>
      <x:c r="AJ127" s="36" t="str">
        <x:f>IF(O127="","",O127)</x:f>
      </x:c>
      <x:c r="AK127" s="36" t="str">
        <x:f>IF(P127="","",P127)</x:f>
      </x:c>
      <x:c r="AL127" s="36" t="str">
        <x:f>IF(R127="","",TEXT(R127,"yyyymmddhhmmss")&amp;"-"&amp;S127&amp;"-"&amp;TEXT(ROW()-4,"0000"))</x:f>
      </x:c>
      <x:c r="AM127" s="36" t="str">
        <x:f>IF(R127="","",IF(T127="KOD HATALI","Öğrenci Kodu Hatalı",IF(OR(V127="",W127="",X127="",Y127="",Z127="",AF127="",AG127="",AJ127="",AK127=""),"Eksik Zorunlu Alan",IF(OR(Y127&lt;0,Z127&lt;0,Z127&gt;Y127),"Soru Sayısı Hatası",IF(AND(AD127&lt;&gt;"",AD127&lt;V127),"Ödev Tarihi Hatası",IF(COUNTIF($AL$5:AL127,AL127)&gt;1,"Mükerrer Form Kaydı","Aktarıma Hazır"))))))</x:f>
      </x:c>
      <x:c r="AN127" s="30"/>
      <x:c r="AO127" s="40"/>
      <x:c r="AP127" s="30"/>
    </x:row>
    <x:row r="128">
      <x:c r="A128" s="158"/>
      <x:c r="B128" s="44"/>
      <x:c r="C128" s="40"/>
      <x:c r="D128" s="30"/>
      <x:c r="E128" s="30"/>
      <x:c r="F128" s="30"/>
      <x:c r="G128" s="30"/>
      <x:c r="H128" s="30"/>
      <x:c r="I128" s="40"/>
      <x:c r="J128" s="30"/>
      <x:c r="K128" s="30"/>
      <x:c r="L128" s="30"/>
      <x:c r="M128" s="30"/>
      <x:c r="N128" s="30"/>
      <x:c r="O128" s="30"/>
      <x:c r="P128" s="30"/>
      <x:c r="R128" s="160" t="str">
        <x:f>IF(A128="","",A128)</x:f>
      </x:c>
      <x:c r="S128" s="126" t="str">
        <x:f>IF(B128="","",B128)</x:f>
      </x:c>
      <x:c r="T128" s="36" t="str">
        <x:f>IF(S128="","",IFERROR(INDEX('02_Öğrenciler'!$B$5:$B$203,MATCH(S128,'02_Öğrenciler'!$A$5:$A$203,0)),"KOD HATALI"))</x:f>
      </x:c>
      <x:c r="U128" s="36" t="str">
        <x:f>IF(S128="","",IFERROR(INDEX('02_Öğrenciler'!$C$5:$C$203,MATCH(S128,'02_Öğrenciler'!$A$5:$A$203,0)),""))</x:f>
      </x:c>
      <x:c r="V128" s="132" t="str">
        <x:f>IF(C128="","",C128)</x:f>
      </x:c>
      <x:c r="W128" s="36" t="str">
        <x:f>IF(D128="","",D128)</x:f>
      </x:c>
      <x:c r="X128" s="36" t="str">
        <x:f>IF(E128="","",E128)</x:f>
      </x:c>
      <x:c r="Y128" s="36" t="str">
        <x:f>IF(F128="","",F128)</x:f>
      </x:c>
      <x:c r="Z128" s="36" t="str">
        <x:f>IF(G128="","",G128)</x:f>
      </x:c>
      <x:c r="AA128" s="36" t="str">
        <x:f>IF(OR(Y128="",Z128=""),"",Y128-Z128)</x:f>
      </x:c>
      <x:c r="AB128" s="52" t="str">
        <x:f>IF(OR(Y128="",Z128=""),"",IFERROR(Z128/Y128,0))</x:f>
      </x:c>
      <x:c r="AC128" s="36" t="str">
        <x:f>IF(H128="","",H128)</x:f>
      </x:c>
      <x:c r="AD128" s="132" t="str">
        <x:f>IF(I128="","",I128)</x:f>
      </x:c>
      <x:c r="AE128" s="36" t="str">
        <x:f>IF(J128="","",J128)</x:f>
      </x:c>
      <x:c r="AF128" s="36" t="str">
        <x:f>IF(K128="","",K128)</x:f>
      </x:c>
      <x:c r="AG128" s="36" t="str">
        <x:f>IF(L128="","",L128)</x:f>
      </x:c>
      <x:c r="AH128" s="36" t="str">
        <x:f>IF(M128="","",M128)</x:f>
      </x:c>
      <x:c r="AI128" s="36" t="str">
        <x:f>IF(N128="","",N128)</x:f>
      </x:c>
      <x:c r="AJ128" s="36" t="str">
        <x:f>IF(O128="","",O128)</x:f>
      </x:c>
      <x:c r="AK128" s="36" t="str">
        <x:f>IF(P128="","",P128)</x:f>
      </x:c>
      <x:c r="AL128" s="36" t="str">
        <x:f>IF(R128="","",TEXT(R128,"yyyymmddhhmmss")&amp;"-"&amp;S128&amp;"-"&amp;TEXT(ROW()-4,"0000"))</x:f>
      </x:c>
      <x:c r="AM128" s="36" t="str">
        <x:f>IF(R128="","",IF(T128="KOD HATALI","Öğrenci Kodu Hatalı",IF(OR(V128="",W128="",X128="",Y128="",Z128="",AF128="",AG128="",AJ128="",AK128=""),"Eksik Zorunlu Alan",IF(OR(Y128&lt;0,Z128&lt;0,Z128&gt;Y128),"Soru Sayısı Hatası",IF(AND(AD128&lt;&gt;"",AD128&lt;V128),"Ödev Tarihi Hatası",IF(COUNTIF($AL$5:AL128,AL128)&gt;1,"Mükerrer Form Kaydı","Aktarıma Hazır"))))))</x:f>
      </x:c>
      <x:c r="AN128" s="30"/>
      <x:c r="AO128" s="40"/>
      <x:c r="AP128" s="30"/>
    </x:row>
    <x:row r="129">
      <x:c r="A129" s="158"/>
      <x:c r="B129" s="44"/>
      <x:c r="C129" s="40"/>
      <x:c r="D129" s="30"/>
      <x:c r="E129" s="30"/>
      <x:c r="F129" s="30"/>
      <x:c r="G129" s="30"/>
      <x:c r="H129" s="30"/>
      <x:c r="I129" s="40"/>
      <x:c r="J129" s="30"/>
      <x:c r="K129" s="30"/>
      <x:c r="L129" s="30"/>
      <x:c r="M129" s="30"/>
      <x:c r="N129" s="30"/>
      <x:c r="O129" s="30"/>
      <x:c r="P129" s="30"/>
      <x:c r="R129" s="160" t="str">
        <x:f>IF(A129="","",A129)</x:f>
      </x:c>
      <x:c r="S129" s="126" t="str">
        <x:f>IF(B129="","",B129)</x:f>
      </x:c>
      <x:c r="T129" s="36" t="str">
        <x:f>IF(S129="","",IFERROR(INDEX('02_Öğrenciler'!$B$5:$B$203,MATCH(S129,'02_Öğrenciler'!$A$5:$A$203,0)),"KOD HATALI"))</x:f>
      </x:c>
      <x:c r="U129" s="36" t="str">
        <x:f>IF(S129="","",IFERROR(INDEX('02_Öğrenciler'!$C$5:$C$203,MATCH(S129,'02_Öğrenciler'!$A$5:$A$203,0)),""))</x:f>
      </x:c>
      <x:c r="V129" s="132" t="str">
        <x:f>IF(C129="","",C129)</x:f>
      </x:c>
      <x:c r="W129" s="36" t="str">
        <x:f>IF(D129="","",D129)</x:f>
      </x:c>
      <x:c r="X129" s="36" t="str">
        <x:f>IF(E129="","",E129)</x:f>
      </x:c>
      <x:c r="Y129" s="36" t="str">
        <x:f>IF(F129="","",F129)</x:f>
      </x:c>
      <x:c r="Z129" s="36" t="str">
        <x:f>IF(G129="","",G129)</x:f>
      </x:c>
      <x:c r="AA129" s="36" t="str">
        <x:f>IF(OR(Y129="",Z129=""),"",Y129-Z129)</x:f>
      </x:c>
      <x:c r="AB129" s="52" t="str">
        <x:f>IF(OR(Y129="",Z129=""),"",IFERROR(Z129/Y129,0))</x:f>
      </x:c>
      <x:c r="AC129" s="36" t="str">
        <x:f>IF(H129="","",H129)</x:f>
      </x:c>
      <x:c r="AD129" s="132" t="str">
        <x:f>IF(I129="","",I129)</x:f>
      </x:c>
      <x:c r="AE129" s="36" t="str">
        <x:f>IF(J129="","",J129)</x:f>
      </x:c>
      <x:c r="AF129" s="36" t="str">
        <x:f>IF(K129="","",K129)</x:f>
      </x:c>
      <x:c r="AG129" s="36" t="str">
        <x:f>IF(L129="","",L129)</x:f>
      </x:c>
      <x:c r="AH129" s="36" t="str">
        <x:f>IF(M129="","",M129)</x:f>
      </x:c>
      <x:c r="AI129" s="36" t="str">
        <x:f>IF(N129="","",N129)</x:f>
      </x:c>
      <x:c r="AJ129" s="36" t="str">
        <x:f>IF(O129="","",O129)</x:f>
      </x:c>
      <x:c r="AK129" s="36" t="str">
        <x:f>IF(P129="","",P129)</x:f>
      </x:c>
      <x:c r="AL129" s="36" t="str">
        <x:f>IF(R129="","",TEXT(R129,"yyyymmddhhmmss")&amp;"-"&amp;S129&amp;"-"&amp;TEXT(ROW()-4,"0000"))</x:f>
      </x:c>
      <x:c r="AM129" s="36" t="str">
        <x:f>IF(R129="","",IF(T129="KOD HATALI","Öğrenci Kodu Hatalı",IF(OR(V129="",W129="",X129="",Y129="",Z129="",AF129="",AG129="",AJ129="",AK129=""),"Eksik Zorunlu Alan",IF(OR(Y129&lt;0,Z129&lt;0,Z129&gt;Y129),"Soru Sayısı Hatası",IF(AND(AD129&lt;&gt;"",AD129&lt;V129),"Ödev Tarihi Hatası",IF(COUNTIF($AL$5:AL129,AL129)&gt;1,"Mükerrer Form Kaydı","Aktarıma Hazır"))))))</x:f>
      </x:c>
      <x:c r="AN129" s="30"/>
      <x:c r="AO129" s="40"/>
      <x:c r="AP129" s="30"/>
    </x:row>
    <x:row r="130">
      <x:c r="A130" s="158"/>
      <x:c r="B130" s="44"/>
      <x:c r="C130" s="40"/>
      <x:c r="D130" s="30"/>
      <x:c r="E130" s="30"/>
      <x:c r="F130" s="30"/>
      <x:c r="G130" s="30"/>
      <x:c r="H130" s="30"/>
      <x:c r="I130" s="40"/>
      <x:c r="J130" s="30"/>
      <x:c r="K130" s="30"/>
      <x:c r="L130" s="30"/>
      <x:c r="M130" s="30"/>
      <x:c r="N130" s="30"/>
      <x:c r="O130" s="30"/>
      <x:c r="P130" s="30"/>
      <x:c r="R130" s="160" t="str">
        <x:f>IF(A130="","",A130)</x:f>
      </x:c>
      <x:c r="S130" s="126" t="str">
        <x:f>IF(B130="","",B130)</x:f>
      </x:c>
      <x:c r="T130" s="36" t="str">
        <x:f>IF(S130="","",IFERROR(INDEX('02_Öğrenciler'!$B$5:$B$203,MATCH(S130,'02_Öğrenciler'!$A$5:$A$203,0)),"KOD HATALI"))</x:f>
      </x:c>
      <x:c r="U130" s="36" t="str">
        <x:f>IF(S130="","",IFERROR(INDEX('02_Öğrenciler'!$C$5:$C$203,MATCH(S130,'02_Öğrenciler'!$A$5:$A$203,0)),""))</x:f>
      </x:c>
      <x:c r="V130" s="132" t="str">
        <x:f>IF(C130="","",C130)</x:f>
      </x:c>
      <x:c r="W130" s="36" t="str">
        <x:f>IF(D130="","",D130)</x:f>
      </x:c>
      <x:c r="X130" s="36" t="str">
        <x:f>IF(E130="","",E130)</x:f>
      </x:c>
      <x:c r="Y130" s="36" t="str">
        <x:f>IF(F130="","",F130)</x:f>
      </x:c>
      <x:c r="Z130" s="36" t="str">
        <x:f>IF(G130="","",G130)</x:f>
      </x:c>
      <x:c r="AA130" s="36" t="str">
        <x:f>IF(OR(Y130="",Z130=""),"",Y130-Z130)</x:f>
      </x:c>
      <x:c r="AB130" s="52" t="str">
        <x:f>IF(OR(Y130="",Z130=""),"",IFERROR(Z130/Y130,0))</x:f>
      </x:c>
      <x:c r="AC130" s="36" t="str">
        <x:f>IF(H130="","",H130)</x:f>
      </x:c>
      <x:c r="AD130" s="132" t="str">
        <x:f>IF(I130="","",I130)</x:f>
      </x:c>
      <x:c r="AE130" s="36" t="str">
        <x:f>IF(J130="","",J130)</x:f>
      </x:c>
      <x:c r="AF130" s="36" t="str">
        <x:f>IF(K130="","",K130)</x:f>
      </x:c>
      <x:c r="AG130" s="36" t="str">
        <x:f>IF(L130="","",L130)</x:f>
      </x:c>
      <x:c r="AH130" s="36" t="str">
        <x:f>IF(M130="","",M130)</x:f>
      </x:c>
      <x:c r="AI130" s="36" t="str">
        <x:f>IF(N130="","",N130)</x:f>
      </x:c>
      <x:c r="AJ130" s="36" t="str">
        <x:f>IF(O130="","",O130)</x:f>
      </x:c>
      <x:c r="AK130" s="36" t="str">
        <x:f>IF(P130="","",P130)</x:f>
      </x:c>
      <x:c r="AL130" s="36" t="str">
        <x:f>IF(R130="","",TEXT(R130,"yyyymmddhhmmss")&amp;"-"&amp;S130&amp;"-"&amp;TEXT(ROW()-4,"0000"))</x:f>
      </x:c>
      <x:c r="AM130" s="36" t="str">
        <x:f>IF(R130="","",IF(T130="KOD HATALI","Öğrenci Kodu Hatalı",IF(OR(V130="",W130="",X130="",Y130="",Z130="",AF130="",AG130="",AJ130="",AK130=""),"Eksik Zorunlu Alan",IF(OR(Y130&lt;0,Z130&lt;0,Z130&gt;Y130),"Soru Sayısı Hatası",IF(AND(AD130&lt;&gt;"",AD130&lt;V130),"Ödev Tarihi Hatası",IF(COUNTIF($AL$5:AL130,AL130)&gt;1,"Mükerrer Form Kaydı","Aktarıma Hazır"))))))</x:f>
      </x:c>
      <x:c r="AN130" s="30"/>
      <x:c r="AO130" s="40"/>
      <x:c r="AP130" s="30"/>
    </x:row>
    <x:row r="131">
      <x:c r="A131" s="158"/>
      <x:c r="B131" s="44"/>
      <x:c r="C131" s="40"/>
      <x:c r="D131" s="30"/>
      <x:c r="E131" s="30"/>
      <x:c r="F131" s="30"/>
      <x:c r="G131" s="30"/>
      <x:c r="H131" s="30"/>
      <x:c r="I131" s="40"/>
      <x:c r="J131" s="30"/>
      <x:c r="K131" s="30"/>
      <x:c r="L131" s="30"/>
      <x:c r="M131" s="30"/>
      <x:c r="N131" s="30"/>
      <x:c r="O131" s="30"/>
      <x:c r="P131" s="30"/>
      <x:c r="R131" s="160" t="str">
        <x:f>IF(A131="","",A131)</x:f>
      </x:c>
      <x:c r="S131" s="126" t="str">
        <x:f>IF(B131="","",B131)</x:f>
      </x:c>
      <x:c r="T131" s="36" t="str">
        <x:f>IF(S131="","",IFERROR(INDEX('02_Öğrenciler'!$B$5:$B$203,MATCH(S131,'02_Öğrenciler'!$A$5:$A$203,0)),"KOD HATALI"))</x:f>
      </x:c>
      <x:c r="U131" s="36" t="str">
        <x:f>IF(S131="","",IFERROR(INDEX('02_Öğrenciler'!$C$5:$C$203,MATCH(S131,'02_Öğrenciler'!$A$5:$A$203,0)),""))</x:f>
      </x:c>
      <x:c r="V131" s="132" t="str">
        <x:f>IF(C131="","",C131)</x:f>
      </x:c>
      <x:c r="W131" s="36" t="str">
        <x:f>IF(D131="","",D131)</x:f>
      </x:c>
      <x:c r="X131" s="36" t="str">
        <x:f>IF(E131="","",E131)</x:f>
      </x:c>
      <x:c r="Y131" s="36" t="str">
        <x:f>IF(F131="","",F131)</x:f>
      </x:c>
      <x:c r="Z131" s="36" t="str">
        <x:f>IF(G131="","",G131)</x:f>
      </x:c>
      <x:c r="AA131" s="36" t="str">
        <x:f>IF(OR(Y131="",Z131=""),"",Y131-Z131)</x:f>
      </x:c>
      <x:c r="AB131" s="52" t="str">
        <x:f>IF(OR(Y131="",Z131=""),"",IFERROR(Z131/Y131,0))</x:f>
      </x:c>
      <x:c r="AC131" s="36" t="str">
        <x:f>IF(H131="","",H131)</x:f>
      </x:c>
      <x:c r="AD131" s="132" t="str">
        <x:f>IF(I131="","",I131)</x:f>
      </x:c>
      <x:c r="AE131" s="36" t="str">
        <x:f>IF(J131="","",J131)</x:f>
      </x:c>
      <x:c r="AF131" s="36" t="str">
        <x:f>IF(K131="","",K131)</x:f>
      </x:c>
      <x:c r="AG131" s="36" t="str">
        <x:f>IF(L131="","",L131)</x:f>
      </x:c>
      <x:c r="AH131" s="36" t="str">
        <x:f>IF(M131="","",M131)</x:f>
      </x:c>
      <x:c r="AI131" s="36" t="str">
        <x:f>IF(N131="","",N131)</x:f>
      </x:c>
      <x:c r="AJ131" s="36" t="str">
        <x:f>IF(O131="","",O131)</x:f>
      </x:c>
      <x:c r="AK131" s="36" t="str">
        <x:f>IF(P131="","",P131)</x:f>
      </x:c>
      <x:c r="AL131" s="36" t="str">
        <x:f>IF(R131="","",TEXT(R131,"yyyymmddhhmmss")&amp;"-"&amp;S131&amp;"-"&amp;TEXT(ROW()-4,"0000"))</x:f>
      </x:c>
      <x:c r="AM131" s="36" t="str">
        <x:f>IF(R131="","",IF(T131="KOD HATALI","Öğrenci Kodu Hatalı",IF(OR(V131="",W131="",X131="",Y131="",Z131="",AF131="",AG131="",AJ131="",AK131=""),"Eksik Zorunlu Alan",IF(OR(Y131&lt;0,Z131&lt;0,Z131&gt;Y131),"Soru Sayısı Hatası",IF(AND(AD131&lt;&gt;"",AD131&lt;V131),"Ödev Tarihi Hatası",IF(COUNTIF($AL$5:AL131,AL131)&gt;1,"Mükerrer Form Kaydı","Aktarıma Hazır"))))))</x:f>
      </x:c>
      <x:c r="AN131" s="30"/>
      <x:c r="AO131" s="40"/>
      <x:c r="AP131" s="30"/>
    </x:row>
    <x:row r="132">
      <x:c r="A132" s="158"/>
      <x:c r="B132" s="44"/>
      <x:c r="C132" s="40"/>
      <x:c r="D132" s="30"/>
      <x:c r="E132" s="30"/>
      <x:c r="F132" s="30"/>
      <x:c r="G132" s="30"/>
      <x:c r="H132" s="30"/>
      <x:c r="I132" s="40"/>
      <x:c r="J132" s="30"/>
      <x:c r="K132" s="30"/>
      <x:c r="L132" s="30"/>
      <x:c r="M132" s="30"/>
      <x:c r="N132" s="30"/>
      <x:c r="O132" s="30"/>
      <x:c r="P132" s="30"/>
      <x:c r="R132" s="160" t="str">
        <x:f>IF(A132="","",A132)</x:f>
      </x:c>
      <x:c r="S132" s="126" t="str">
        <x:f>IF(B132="","",B132)</x:f>
      </x:c>
      <x:c r="T132" s="36" t="str">
        <x:f>IF(S132="","",IFERROR(INDEX('02_Öğrenciler'!$B$5:$B$203,MATCH(S132,'02_Öğrenciler'!$A$5:$A$203,0)),"KOD HATALI"))</x:f>
      </x:c>
      <x:c r="U132" s="36" t="str">
        <x:f>IF(S132="","",IFERROR(INDEX('02_Öğrenciler'!$C$5:$C$203,MATCH(S132,'02_Öğrenciler'!$A$5:$A$203,0)),""))</x:f>
      </x:c>
      <x:c r="V132" s="132" t="str">
        <x:f>IF(C132="","",C132)</x:f>
      </x:c>
      <x:c r="W132" s="36" t="str">
        <x:f>IF(D132="","",D132)</x:f>
      </x:c>
      <x:c r="X132" s="36" t="str">
        <x:f>IF(E132="","",E132)</x:f>
      </x:c>
      <x:c r="Y132" s="36" t="str">
        <x:f>IF(F132="","",F132)</x:f>
      </x:c>
      <x:c r="Z132" s="36" t="str">
        <x:f>IF(G132="","",G132)</x:f>
      </x:c>
      <x:c r="AA132" s="36" t="str">
        <x:f>IF(OR(Y132="",Z132=""),"",Y132-Z132)</x:f>
      </x:c>
      <x:c r="AB132" s="52" t="str">
        <x:f>IF(OR(Y132="",Z132=""),"",IFERROR(Z132/Y132,0))</x:f>
      </x:c>
      <x:c r="AC132" s="36" t="str">
        <x:f>IF(H132="","",H132)</x:f>
      </x:c>
      <x:c r="AD132" s="132" t="str">
        <x:f>IF(I132="","",I132)</x:f>
      </x:c>
      <x:c r="AE132" s="36" t="str">
        <x:f>IF(J132="","",J132)</x:f>
      </x:c>
      <x:c r="AF132" s="36" t="str">
        <x:f>IF(K132="","",K132)</x:f>
      </x:c>
      <x:c r="AG132" s="36" t="str">
        <x:f>IF(L132="","",L132)</x:f>
      </x:c>
      <x:c r="AH132" s="36" t="str">
        <x:f>IF(M132="","",M132)</x:f>
      </x:c>
      <x:c r="AI132" s="36" t="str">
        <x:f>IF(N132="","",N132)</x:f>
      </x:c>
      <x:c r="AJ132" s="36" t="str">
        <x:f>IF(O132="","",O132)</x:f>
      </x:c>
      <x:c r="AK132" s="36" t="str">
        <x:f>IF(P132="","",P132)</x:f>
      </x:c>
      <x:c r="AL132" s="36" t="str">
        <x:f>IF(R132="","",TEXT(R132,"yyyymmddhhmmss")&amp;"-"&amp;S132&amp;"-"&amp;TEXT(ROW()-4,"0000"))</x:f>
      </x:c>
      <x:c r="AM132" s="36" t="str">
        <x:f>IF(R132="","",IF(T132="KOD HATALI","Öğrenci Kodu Hatalı",IF(OR(V132="",W132="",X132="",Y132="",Z132="",AF132="",AG132="",AJ132="",AK132=""),"Eksik Zorunlu Alan",IF(OR(Y132&lt;0,Z132&lt;0,Z132&gt;Y132),"Soru Sayısı Hatası",IF(AND(AD132&lt;&gt;"",AD132&lt;V132),"Ödev Tarihi Hatası",IF(COUNTIF($AL$5:AL132,AL132)&gt;1,"Mükerrer Form Kaydı","Aktarıma Hazır"))))))</x:f>
      </x:c>
      <x:c r="AN132" s="30"/>
      <x:c r="AO132" s="40"/>
      <x:c r="AP132" s="30"/>
    </x:row>
    <x:row r="133">
      <x:c r="A133" s="158"/>
      <x:c r="B133" s="44"/>
      <x:c r="C133" s="40"/>
      <x:c r="D133" s="30"/>
      <x:c r="E133" s="30"/>
      <x:c r="F133" s="30"/>
      <x:c r="G133" s="30"/>
      <x:c r="H133" s="30"/>
      <x:c r="I133" s="40"/>
      <x:c r="J133" s="30"/>
      <x:c r="K133" s="30"/>
      <x:c r="L133" s="30"/>
      <x:c r="M133" s="30"/>
      <x:c r="N133" s="30"/>
      <x:c r="O133" s="30"/>
      <x:c r="P133" s="30"/>
      <x:c r="R133" s="160" t="str">
        <x:f>IF(A133="","",A133)</x:f>
      </x:c>
      <x:c r="S133" s="126" t="str">
        <x:f>IF(B133="","",B133)</x:f>
      </x:c>
      <x:c r="T133" s="36" t="str">
        <x:f>IF(S133="","",IFERROR(INDEX('02_Öğrenciler'!$B$5:$B$203,MATCH(S133,'02_Öğrenciler'!$A$5:$A$203,0)),"KOD HATALI"))</x:f>
      </x:c>
      <x:c r="U133" s="36" t="str">
        <x:f>IF(S133="","",IFERROR(INDEX('02_Öğrenciler'!$C$5:$C$203,MATCH(S133,'02_Öğrenciler'!$A$5:$A$203,0)),""))</x:f>
      </x:c>
      <x:c r="V133" s="132" t="str">
        <x:f>IF(C133="","",C133)</x:f>
      </x:c>
      <x:c r="W133" s="36" t="str">
        <x:f>IF(D133="","",D133)</x:f>
      </x:c>
      <x:c r="X133" s="36" t="str">
        <x:f>IF(E133="","",E133)</x:f>
      </x:c>
      <x:c r="Y133" s="36" t="str">
        <x:f>IF(F133="","",F133)</x:f>
      </x:c>
      <x:c r="Z133" s="36" t="str">
        <x:f>IF(G133="","",G133)</x:f>
      </x:c>
      <x:c r="AA133" s="36" t="str">
        <x:f>IF(OR(Y133="",Z133=""),"",Y133-Z133)</x:f>
      </x:c>
      <x:c r="AB133" s="52" t="str">
        <x:f>IF(OR(Y133="",Z133=""),"",IFERROR(Z133/Y133,0))</x:f>
      </x:c>
      <x:c r="AC133" s="36" t="str">
        <x:f>IF(H133="","",H133)</x:f>
      </x:c>
      <x:c r="AD133" s="132" t="str">
        <x:f>IF(I133="","",I133)</x:f>
      </x:c>
      <x:c r="AE133" s="36" t="str">
        <x:f>IF(J133="","",J133)</x:f>
      </x:c>
      <x:c r="AF133" s="36" t="str">
        <x:f>IF(K133="","",K133)</x:f>
      </x:c>
      <x:c r="AG133" s="36" t="str">
        <x:f>IF(L133="","",L133)</x:f>
      </x:c>
      <x:c r="AH133" s="36" t="str">
        <x:f>IF(M133="","",M133)</x:f>
      </x:c>
      <x:c r="AI133" s="36" t="str">
        <x:f>IF(N133="","",N133)</x:f>
      </x:c>
      <x:c r="AJ133" s="36" t="str">
        <x:f>IF(O133="","",O133)</x:f>
      </x:c>
      <x:c r="AK133" s="36" t="str">
        <x:f>IF(P133="","",P133)</x:f>
      </x:c>
      <x:c r="AL133" s="36" t="str">
        <x:f>IF(R133="","",TEXT(R133,"yyyymmddhhmmss")&amp;"-"&amp;S133&amp;"-"&amp;TEXT(ROW()-4,"0000"))</x:f>
      </x:c>
      <x:c r="AM133" s="36" t="str">
        <x:f>IF(R133="","",IF(T133="KOD HATALI","Öğrenci Kodu Hatalı",IF(OR(V133="",W133="",X133="",Y133="",Z133="",AF133="",AG133="",AJ133="",AK133=""),"Eksik Zorunlu Alan",IF(OR(Y133&lt;0,Z133&lt;0,Z133&gt;Y133),"Soru Sayısı Hatası",IF(AND(AD133&lt;&gt;"",AD133&lt;V133),"Ödev Tarihi Hatası",IF(COUNTIF($AL$5:AL133,AL133)&gt;1,"Mükerrer Form Kaydı","Aktarıma Hazır"))))))</x:f>
      </x:c>
      <x:c r="AN133" s="30"/>
      <x:c r="AO133" s="40"/>
      <x:c r="AP133" s="30"/>
    </x:row>
    <x:row r="134">
      <x:c r="A134" s="158"/>
      <x:c r="B134" s="44"/>
      <x:c r="C134" s="40"/>
      <x:c r="D134" s="30"/>
      <x:c r="E134" s="30"/>
      <x:c r="F134" s="30"/>
      <x:c r="G134" s="30"/>
      <x:c r="H134" s="30"/>
      <x:c r="I134" s="40"/>
      <x:c r="J134" s="30"/>
      <x:c r="K134" s="30"/>
      <x:c r="L134" s="30"/>
      <x:c r="M134" s="30"/>
      <x:c r="N134" s="30"/>
      <x:c r="O134" s="30"/>
      <x:c r="P134" s="30"/>
      <x:c r="R134" s="160" t="str">
        <x:f>IF(A134="","",A134)</x:f>
      </x:c>
      <x:c r="S134" s="126" t="str">
        <x:f>IF(B134="","",B134)</x:f>
      </x:c>
      <x:c r="T134" s="36" t="str">
        <x:f>IF(S134="","",IFERROR(INDEX('02_Öğrenciler'!$B$5:$B$203,MATCH(S134,'02_Öğrenciler'!$A$5:$A$203,0)),"KOD HATALI"))</x:f>
      </x:c>
      <x:c r="U134" s="36" t="str">
        <x:f>IF(S134="","",IFERROR(INDEX('02_Öğrenciler'!$C$5:$C$203,MATCH(S134,'02_Öğrenciler'!$A$5:$A$203,0)),""))</x:f>
      </x:c>
      <x:c r="V134" s="132" t="str">
        <x:f>IF(C134="","",C134)</x:f>
      </x:c>
      <x:c r="W134" s="36" t="str">
        <x:f>IF(D134="","",D134)</x:f>
      </x:c>
      <x:c r="X134" s="36" t="str">
        <x:f>IF(E134="","",E134)</x:f>
      </x:c>
      <x:c r="Y134" s="36" t="str">
        <x:f>IF(F134="","",F134)</x:f>
      </x:c>
      <x:c r="Z134" s="36" t="str">
        <x:f>IF(G134="","",G134)</x:f>
      </x:c>
      <x:c r="AA134" s="36" t="str">
        <x:f>IF(OR(Y134="",Z134=""),"",Y134-Z134)</x:f>
      </x:c>
      <x:c r="AB134" s="52" t="str">
        <x:f>IF(OR(Y134="",Z134=""),"",IFERROR(Z134/Y134,0))</x:f>
      </x:c>
      <x:c r="AC134" s="36" t="str">
        <x:f>IF(H134="","",H134)</x:f>
      </x:c>
      <x:c r="AD134" s="132" t="str">
        <x:f>IF(I134="","",I134)</x:f>
      </x:c>
      <x:c r="AE134" s="36" t="str">
        <x:f>IF(J134="","",J134)</x:f>
      </x:c>
      <x:c r="AF134" s="36" t="str">
        <x:f>IF(K134="","",K134)</x:f>
      </x:c>
      <x:c r="AG134" s="36" t="str">
        <x:f>IF(L134="","",L134)</x:f>
      </x:c>
      <x:c r="AH134" s="36" t="str">
        <x:f>IF(M134="","",M134)</x:f>
      </x:c>
      <x:c r="AI134" s="36" t="str">
        <x:f>IF(N134="","",N134)</x:f>
      </x:c>
      <x:c r="AJ134" s="36" t="str">
        <x:f>IF(O134="","",O134)</x:f>
      </x:c>
      <x:c r="AK134" s="36" t="str">
        <x:f>IF(P134="","",P134)</x:f>
      </x:c>
      <x:c r="AL134" s="36" t="str">
        <x:f>IF(R134="","",TEXT(R134,"yyyymmddhhmmss")&amp;"-"&amp;S134&amp;"-"&amp;TEXT(ROW()-4,"0000"))</x:f>
      </x:c>
      <x:c r="AM134" s="36" t="str">
        <x:f>IF(R134="","",IF(T134="KOD HATALI","Öğrenci Kodu Hatalı",IF(OR(V134="",W134="",X134="",Y134="",Z134="",AF134="",AG134="",AJ134="",AK134=""),"Eksik Zorunlu Alan",IF(OR(Y134&lt;0,Z134&lt;0,Z134&gt;Y134),"Soru Sayısı Hatası",IF(AND(AD134&lt;&gt;"",AD134&lt;V134),"Ödev Tarihi Hatası",IF(COUNTIF($AL$5:AL134,AL134)&gt;1,"Mükerrer Form Kaydı","Aktarıma Hazır"))))))</x:f>
      </x:c>
      <x:c r="AN134" s="30"/>
      <x:c r="AO134" s="40"/>
      <x:c r="AP134" s="30"/>
    </x:row>
    <x:row r="135">
      <x:c r="A135" s="158"/>
      <x:c r="B135" s="44"/>
      <x:c r="C135" s="40"/>
      <x:c r="D135" s="30"/>
      <x:c r="E135" s="30"/>
      <x:c r="F135" s="30"/>
      <x:c r="G135" s="30"/>
      <x:c r="H135" s="30"/>
      <x:c r="I135" s="40"/>
      <x:c r="J135" s="30"/>
      <x:c r="K135" s="30"/>
      <x:c r="L135" s="30"/>
      <x:c r="M135" s="30"/>
      <x:c r="N135" s="30"/>
      <x:c r="O135" s="30"/>
      <x:c r="P135" s="30"/>
      <x:c r="R135" s="160" t="str">
        <x:f>IF(A135="","",A135)</x:f>
      </x:c>
      <x:c r="S135" s="126" t="str">
        <x:f>IF(B135="","",B135)</x:f>
      </x:c>
      <x:c r="T135" s="36" t="str">
        <x:f>IF(S135="","",IFERROR(INDEX('02_Öğrenciler'!$B$5:$B$203,MATCH(S135,'02_Öğrenciler'!$A$5:$A$203,0)),"KOD HATALI"))</x:f>
      </x:c>
      <x:c r="U135" s="36" t="str">
        <x:f>IF(S135="","",IFERROR(INDEX('02_Öğrenciler'!$C$5:$C$203,MATCH(S135,'02_Öğrenciler'!$A$5:$A$203,0)),""))</x:f>
      </x:c>
      <x:c r="V135" s="132" t="str">
        <x:f>IF(C135="","",C135)</x:f>
      </x:c>
      <x:c r="W135" s="36" t="str">
        <x:f>IF(D135="","",D135)</x:f>
      </x:c>
      <x:c r="X135" s="36" t="str">
        <x:f>IF(E135="","",E135)</x:f>
      </x:c>
      <x:c r="Y135" s="36" t="str">
        <x:f>IF(F135="","",F135)</x:f>
      </x:c>
      <x:c r="Z135" s="36" t="str">
        <x:f>IF(G135="","",G135)</x:f>
      </x:c>
      <x:c r="AA135" s="36" t="str">
        <x:f>IF(OR(Y135="",Z135=""),"",Y135-Z135)</x:f>
      </x:c>
      <x:c r="AB135" s="52" t="str">
        <x:f>IF(OR(Y135="",Z135=""),"",IFERROR(Z135/Y135,0))</x:f>
      </x:c>
      <x:c r="AC135" s="36" t="str">
        <x:f>IF(H135="","",H135)</x:f>
      </x:c>
      <x:c r="AD135" s="132" t="str">
        <x:f>IF(I135="","",I135)</x:f>
      </x:c>
      <x:c r="AE135" s="36" t="str">
        <x:f>IF(J135="","",J135)</x:f>
      </x:c>
      <x:c r="AF135" s="36" t="str">
        <x:f>IF(K135="","",K135)</x:f>
      </x:c>
      <x:c r="AG135" s="36" t="str">
        <x:f>IF(L135="","",L135)</x:f>
      </x:c>
      <x:c r="AH135" s="36" t="str">
        <x:f>IF(M135="","",M135)</x:f>
      </x:c>
      <x:c r="AI135" s="36" t="str">
        <x:f>IF(N135="","",N135)</x:f>
      </x:c>
      <x:c r="AJ135" s="36" t="str">
        <x:f>IF(O135="","",O135)</x:f>
      </x:c>
      <x:c r="AK135" s="36" t="str">
        <x:f>IF(P135="","",P135)</x:f>
      </x:c>
      <x:c r="AL135" s="36" t="str">
        <x:f>IF(R135="","",TEXT(R135,"yyyymmddhhmmss")&amp;"-"&amp;S135&amp;"-"&amp;TEXT(ROW()-4,"0000"))</x:f>
      </x:c>
      <x:c r="AM135" s="36" t="str">
        <x:f>IF(R135="","",IF(T135="KOD HATALI","Öğrenci Kodu Hatalı",IF(OR(V135="",W135="",X135="",Y135="",Z135="",AF135="",AG135="",AJ135="",AK135=""),"Eksik Zorunlu Alan",IF(OR(Y135&lt;0,Z135&lt;0,Z135&gt;Y135),"Soru Sayısı Hatası",IF(AND(AD135&lt;&gt;"",AD135&lt;V135),"Ödev Tarihi Hatası",IF(COUNTIF($AL$5:AL135,AL135)&gt;1,"Mükerrer Form Kaydı","Aktarıma Hazır"))))))</x:f>
      </x:c>
      <x:c r="AN135" s="30"/>
      <x:c r="AO135" s="40"/>
      <x:c r="AP135" s="30"/>
    </x:row>
    <x:row r="136">
      <x:c r="A136" s="158"/>
      <x:c r="B136" s="44"/>
      <x:c r="C136" s="40"/>
      <x:c r="D136" s="30"/>
      <x:c r="E136" s="30"/>
      <x:c r="F136" s="30"/>
      <x:c r="G136" s="30"/>
      <x:c r="H136" s="30"/>
      <x:c r="I136" s="40"/>
      <x:c r="J136" s="30"/>
      <x:c r="K136" s="30"/>
      <x:c r="L136" s="30"/>
      <x:c r="M136" s="30"/>
      <x:c r="N136" s="30"/>
      <x:c r="O136" s="30"/>
      <x:c r="P136" s="30"/>
      <x:c r="R136" s="160" t="str">
        <x:f>IF(A136="","",A136)</x:f>
      </x:c>
      <x:c r="S136" s="126" t="str">
        <x:f>IF(B136="","",B136)</x:f>
      </x:c>
      <x:c r="T136" s="36" t="str">
        <x:f>IF(S136="","",IFERROR(INDEX('02_Öğrenciler'!$B$5:$B$203,MATCH(S136,'02_Öğrenciler'!$A$5:$A$203,0)),"KOD HATALI"))</x:f>
      </x:c>
      <x:c r="U136" s="36" t="str">
        <x:f>IF(S136="","",IFERROR(INDEX('02_Öğrenciler'!$C$5:$C$203,MATCH(S136,'02_Öğrenciler'!$A$5:$A$203,0)),""))</x:f>
      </x:c>
      <x:c r="V136" s="132" t="str">
        <x:f>IF(C136="","",C136)</x:f>
      </x:c>
      <x:c r="W136" s="36" t="str">
        <x:f>IF(D136="","",D136)</x:f>
      </x:c>
      <x:c r="X136" s="36" t="str">
        <x:f>IF(E136="","",E136)</x:f>
      </x:c>
      <x:c r="Y136" s="36" t="str">
        <x:f>IF(F136="","",F136)</x:f>
      </x:c>
      <x:c r="Z136" s="36" t="str">
        <x:f>IF(G136="","",G136)</x:f>
      </x:c>
      <x:c r="AA136" s="36" t="str">
        <x:f>IF(OR(Y136="",Z136=""),"",Y136-Z136)</x:f>
      </x:c>
      <x:c r="AB136" s="52" t="str">
        <x:f>IF(OR(Y136="",Z136=""),"",IFERROR(Z136/Y136,0))</x:f>
      </x:c>
      <x:c r="AC136" s="36" t="str">
        <x:f>IF(H136="","",H136)</x:f>
      </x:c>
      <x:c r="AD136" s="132" t="str">
        <x:f>IF(I136="","",I136)</x:f>
      </x:c>
      <x:c r="AE136" s="36" t="str">
        <x:f>IF(J136="","",J136)</x:f>
      </x:c>
      <x:c r="AF136" s="36" t="str">
        <x:f>IF(K136="","",K136)</x:f>
      </x:c>
      <x:c r="AG136" s="36" t="str">
        <x:f>IF(L136="","",L136)</x:f>
      </x:c>
      <x:c r="AH136" s="36" t="str">
        <x:f>IF(M136="","",M136)</x:f>
      </x:c>
      <x:c r="AI136" s="36" t="str">
        <x:f>IF(N136="","",N136)</x:f>
      </x:c>
      <x:c r="AJ136" s="36" t="str">
        <x:f>IF(O136="","",O136)</x:f>
      </x:c>
      <x:c r="AK136" s="36" t="str">
        <x:f>IF(P136="","",P136)</x:f>
      </x:c>
      <x:c r="AL136" s="36" t="str">
        <x:f>IF(R136="","",TEXT(R136,"yyyymmddhhmmss")&amp;"-"&amp;S136&amp;"-"&amp;TEXT(ROW()-4,"0000"))</x:f>
      </x:c>
      <x:c r="AM136" s="36" t="str">
        <x:f>IF(R136="","",IF(T136="KOD HATALI","Öğrenci Kodu Hatalı",IF(OR(V136="",W136="",X136="",Y136="",Z136="",AF136="",AG136="",AJ136="",AK136=""),"Eksik Zorunlu Alan",IF(OR(Y136&lt;0,Z136&lt;0,Z136&gt;Y136),"Soru Sayısı Hatası",IF(AND(AD136&lt;&gt;"",AD136&lt;V136),"Ödev Tarihi Hatası",IF(COUNTIF($AL$5:AL136,AL136)&gt;1,"Mükerrer Form Kaydı","Aktarıma Hazır"))))))</x:f>
      </x:c>
      <x:c r="AN136" s="30"/>
      <x:c r="AO136" s="40"/>
      <x:c r="AP136" s="30"/>
    </x:row>
    <x:row r="137">
      <x:c r="A137" s="158"/>
      <x:c r="B137" s="44"/>
      <x:c r="C137" s="40"/>
      <x:c r="D137" s="30"/>
      <x:c r="E137" s="30"/>
      <x:c r="F137" s="30"/>
      <x:c r="G137" s="30"/>
      <x:c r="H137" s="30"/>
      <x:c r="I137" s="40"/>
      <x:c r="J137" s="30"/>
      <x:c r="K137" s="30"/>
      <x:c r="L137" s="30"/>
      <x:c r="M137" s="30"/>
      <x:c r="N137" s="30"/>
      <x:c r="O137" s="30"/>
      <x:c r="P137" s="30"/>
      <x:c r="R137" s="160" t="str">
        <x:f>IF(A137="","",A137)</x:f>
      </x:c>
      <x:c r="S137" s="126" t="str">
        <x:f>IF(B137="","",B137)</x:f>
      </x:c>
      <x:c r="T137" s="36" t="str">
        <x:f>IF(S137="","",IFERROR(INDEX('02_Öğrenciler'!$B$5:$B$203,MATCH(S137,'02_Öğrenciler'!$A$5:$A$203,0)),"KOD HATALI"))</x:f>
      </x:c>
      <x:c r="U137" s="36" t="str">
        <x:f>IF(S137="","",IFERROR(INDEX('02_Öğrenciler'!$C$5:$C$203,MATCH(S137,'02_Öğrenciler'!$A$5:$A$203,0)),""))</x:f>
      </x:c>
      <x:c r="V137" s="132" t="str">
        <x:f>IF(C137="","",C137)</x:f>
      </x:c>
      <x:c r="W137" s="36" t="str">
        <x:f>IF(D137="","",D137)</x:f>
      </x:c>
      <x:c r="X137" s="36" t="str">
        <x:f>IF(E137="","",E137)</x:f>
      </x:c>
      <x:c r="Y137" s="36" t="str">
        <x:f>IF(F137="","",F137)</x:f>
      </x:c>
      <x:c r="Z137" s="36" t="str">
        <x:f>IF(G137="","",G137)</x:f>
      </x:c>
      <x:c r="AA137" s="36" t="str">
        <x:f>IF(OR(Y137="",Z137=""),"",Y137-Z137)</x:f>
      </x:c>
      <x:c r="AB137" s="52" t="str">
        <x:f>IF(OR(Y137="",Z137=""),"",IFERROR(Z137/Y137,0))</x:f>
      </x:c>
      <x:c r="AC137" s="36" t="str">
        <x:f>IF(H137="","",H137)</x:f>
      </x:c>
      <x:c r="AD137" s="132" t="str">
        <x:f>IF(I137="","",I137)</x:f>
      </x:c>
      <x:c r="AE137" s="36" t="str">
        <x:f>IF(J137="","",J137)</x:f>
      </x:c>
      <x:c r="AF137" s="36" t="str">
        <x:f>IF(K137="","",K137)</x:f>
      </x:c>
      <x:c r="AG137" s="36" t="str">
        <x:f>IF(L137="","",L137)</x:f>
      </x:c>
      <x:c r="AH137" s="36" t="str">
        <x:f>IF(M137="","",M137)</x:f>
      </x:c>
      <x:c r="AI137" s="36" t="str">
        <x:f>IF(N137="","",N137)</x:f>
      </x:c>
      <x:c r="AJ137" s="36" t="str">
        <x:f>IF(O137="","",O137)</x:f>
      </x:c>
      <x:c r="AK137" s="36" t="str">
        <x:f>IF(P137="","",P137)</x:f>
      </x:c>
      <x:c r="AL137" s="36" t="str">
        <x:f>IF(R137="","",TEXT(R137,"yyyymmddhhmmss")&amp;"-"&amp;S137&amp;"-"&amp;TEXT(ROW()-4,"0000"))</x:f>
      </x:c>
      <x:c r="AM137" s="36" t="str">
        <x:f>IF(R137="","",IF(T137="KOD HATALI","Öğrenci Kodu Hatalı",IF(OR(V137="",W137="",X137="",Y137="",Z137="",AF137="",AG137="",AJ137="",AK137=""),"Eksik Zorunlu Alan",IF(OR(Y137&lt;0,Z137&lt;0,Z137&gt;Y137),"Soru Sayısı Hatası",IF(AND(AD137&lt;&gt;"",AD137&lt;V137),"Ödev Tarihi Hatası",IF(COUNTIF($AL$5:AL137,AL137)&gt;1,"Mükerrer Form Kaydı","Aktarıma Hazır"))))))</x:f>
      </x:c>
      <x:c r="AN137" s="30"/>
      <x:c r="AO137" s="40"/>
      <x:c r="AP137" s="30"/>
    </x:row>
    <x:row r="138">
      <x:c r="A138" s="158"/>
      <x:c r="B138" s="44"/>
      <x:c r="C138" s="40"/>
      <x:c r="D138" s="30"/>
      <x:c r="E138" s="30"/>
      <x:c r="F138" s="30"/>
      <x:c r="G138" s="30"/>
      <x:c r="H138" s="30"/>
      <x:c r="I138" s="40"/>
      <x:c r="J138" s="30"/>
      <x:c r="K138" s="30"/>
      <x:c r="L138" s="30"/>
      <x:c r="M138" s="30"/>
      <x:c r="N138" s="30"/>
      <x:c r="O138" s="30"/>
      <x:c r="P138" s="30"/>
      <x:c r="R138" s="160" t="str">
        <x:f>IF(A138="","",A138)</x:f>
      </x:c>
      <x:c r="S138" s="126" t="str">
        <x:f>IF(B138="","",B138)</x:f>
      </x:c>
      <x:c r="T138" s="36" t="str">
        <x:f>IF(S138="","",IFERROR(INDEX('02_Öğrenciler'!$B$5:$B$203,MATCH(S138,'02_Öğrenciler'!$A$5:$A$203,0)),"KOD HATALI"))</x:f>
      </x:c>
      <x:c r="U138" s="36" t="str">
        <x:f>IF(S138="","",IFERROR(INDEX('02_Öğrenciler'!$C$5:$C$203,MATCH(S138,'02_Öğrenciler'!$A$5:$A$203,0)),""))</x:f>
      </x:c>
      <x:c r="V138" s="132" t="str">
        <x:f>IF(C138="","",C138)</x:f>
      </x:c>
      <x:c r="W138" s="36" t="str">
        <x:f>IF(D138="","",D138)</x:f>
      </x:c>
      <x:c r="X138" s="36" t="str">
        <x:f>IF(E138="","",E138)</x:f>
      </x:c>
      <x:c r="Y138" s="36" t="str">
        <x:f>IF(F138="","",F138)</x:f>
      </x:c>
      <x:c r="Z138" s="36" t="str">
        <x:f>IF(G138="","",G138)</x:f>
      </x:c>
      <x:c r="AA138" s="36" t="str">
        <x:f>IF(OR(Y138="",Z138=""),"",Y138-Z138)</x:f>
      </x:c>
      <x:c r="AB138" s="52" t="str">
        <x:f>IF(OR(Y138="",Z138=""),"",IFERROR(Z138/Y138,0))</x:f>
      </x:c>
      <x:c r="AC138" s="36" t="str">
        <x:f>IF(H138="","",H138)</x:f>
      </x:c>
      <x:c r="AD138" s="132" t="str">
        <x:f>IF(I138="","",I138)</x:f>
      </x:c>
      <x:c r="AE138" s="36" t="str">
        <x:f>IF(J138="","",J138)</x:f>
      </x:c>
      <x:c r="AF138" s="36" t="str">
        <x:f>IF(K138="","",K138)</x:f>
      </x:c>
      <x:c r="AG138" s="36" t="str">
        <x:f>IF(L138="","",L138)</x:f>
      </x:c>
      <x:c r="AH138" s="36" t="str">
        <x:f>IF(M138="","",M138)</x:f>
      </x:c>
      <x:c r="AI138" s="36" t="str">
        <x:f>IF(N138="","",N138)</x:f>
      </x:c>
      <x:c r="AJ138" s="36" t="str">
        <x:f>IF(O138="","",O138)</x:f>
      </x:c>
      <x:c r="AK138" s="36" t="str">
        <x:f>IF(P138="","",P138)</x:f>
      </x:c>
      <x:c r="AL138" s="36" t="str">
        <x:f>IF(R138="","",TEXT(R138,"yyyymmddhhmmss")&amp;"-"&amp;S138&amp;"-"&amp;TEXT(ROW()-4,"0000"))</x:f>
      </x:c>
      <x:c r="AM138" s="36" t="str">
        <x:f>IF(R138="","",IF(T138="KOD HATALI","Öğrenci Kodu Hatalı",IF(OR(V138="",W138="",X138="",Y138="",Z138="",AF138="",AG138="",AJ138="",AK138=""),"Eksik Zorunlu Alan",IF(OR(Y138&lt;0,Z138&lt;0,Z138&gt;Y138),"Soru Sayısı Hatası",IF(AND(AD138&lt;&gt;"",AD138&lt;V138),"Ödev Tarihi Hatası",IF(COUNTIF($AL$5:AL138,AL138)&gt;1,"Mükerrer Form Kaydı","Aktarıma Hazır"))))))</x:f>
      </x:c>
      <x:c r="AN138" s="30"/>
      <x:c r="AO138" s="40"/>
      <x:c r="AP138" s="30"/>
    </x:row>
    <x:row r="139">
      <x:c r="A139" s="158"/>
      <x:c r="B139" s="44"/>
      <x:c r="C139" s="40"/>
      <x:c r="D139" s="30"/>
      <x:c r="E139" s="30"/>
      <x:c r="F139" s="30"/>
      <x:c r="G139" s="30"/>
      <x:c r="H139" s="30"/>
      <x:c r="I139" s="40"/>
      <x:c r="J139" s="30"/>
      <x:c r="K139" s="30"/>
      <x:c r="L139" s="30"/>
      <x:c r="M139" s="30"/>
      <x:c r="N139" s="30"/>
      <x:c r="O139" s="30"/>
      <x:c r="P139" s="30"/>
      <x:c r="R139" s="160" t="str">
        <x:f>IF(A139="","",A139)</x:f>
      </x:c>
      <x:c r="S139" s="126" t="str">
        <x:f>IF(B139="","",B139)</x:f>
      </x:c>
      <x:c r="T139" s="36" t="str">
        <x:f>IF(S139="","",IFERROR(INDEX('02_Öğrenciler'!$B$5:$B$203,MATCH(S139,'02_Öğrenciler'!$A$5:$A$203,0)),"KOD HATALI"))</x:f>
      </x:c>
      <x:c r="U139" s="36" t="str">
        <x:f>IF(S139="","",IFERROR(INDEX('02_Öğrenciler'!$C$5:$C$203,MATCH(S139,'02_Öğrenciler'!$A$5:$A$203,0)),""))</x:f>
      </x:c>
      <x:c r="V139" s="132" t="str">
        <x:f>IF(C139="","",C139)</x:f>
      </x:c>
      <x:c r="W139" s="36" t="str">
        <x:f>IF(D139="","",D139)</x:f>
      </x:c>
      <x:c r="X139" s="36" t="str">
        <x:f>IF(E139="","",E139)</x:f>
      </x:c>
      <x:c r="Y139" s="36" t="str">
        <x:f>IF(F139="","",F139)</x:f>
      </x:c>
      <x:c r="Z139" s="36" t="str">
        <x:f>IF(G139="","",G139)</x:f>
      </x:c>
      <x:c r="AA139" s="36" t="str">
        <x:f>IF(OR(Y139="",Z139=""),"",Y139-Z139)</x:f>
      </x:c>
      <x:c r="AB139" s="52" t="str">
        <x:f>IF(OR(Y139="",Z139=""),"",IFERROR(Z139/Y139,0))</x:f>
      </x:c>
      <x:c r="AC139" s="36" t="str">
        <x:f>IF(H139="","",H139)</x:f>
      </x:c>
      <x:c r="AD139" s="132" t="str">
        <x:f>IF(I139="","",I139)</x:f>
      </x:c>
      <x:c r="AE139" s="36" t="str">
        <x:f>IF(J139="","",J139)</x:f>
      </x:c>
      <x:c r="AF139" s="36" t="str">
        <x:f>IF(K139="","",K139)</x:f>
      </x:c>
      <x:c r="AG139" s="36" t="str">
        <x:f>IF(L139="","",L139)</x:f>
      </x:c>
      <x:c r="AH139" s="36" t="str">
        <x:f>IF(M139="","",M139)</x:f>
      </x:c>
      <x:c r="AI139" s="36" t="str">
        <x:f>IF(N139="","",N139)</x:f>
      </x:c>
      <x:c r="AJ139" s="36" t="str">
        <x:f>IF(O139="","",O139)</x:f>
      </x:c>
      <x:c r="AK139" s="36" t="str">
        <x:f>IF(P139="","",P139)</x:f>
      </x:c>
      <x:c r="AL139" s="36" t="str">
        <x:f>IF(R139="","",TEXT(R139,"yyyymmddhhmmss")&amp;"-"&amp;S139&amp;"-"&amp;TEXT(ROW()-4,"0000"))</x:f>
      </x:c>
      <x:c r="AM139" s="36" t="str">
        <x:f>IF(R139="","",IF(T139="KOD HATALI","Öğrenci Kodu Hatalı",IF(OR(V139="",W139="",X139="",Y139="",Z139="",AF139="",AG139="",AJ139="",AK139=""),"Eksik Zorunlu Alan",IF(OR(Y139&lt;0,Z139&lt;0,Z139&gt;Y139),"Soru Sayısı Hatası",IF(AND(AD139&lt;&gt;"",AD139&lt;V139),"Ödev Tarihi Hatası",IF(COUNTIF($AL$5:AL139,AL139)&gt;1,"Mükerrer Form Kaydı","Aktarıma Hazır"))))))</x:f>
      </x:c>
      <x:c r="AN139" s="30"/>
      <x:c r="AO139" s="40"/>
      <x:c r="AP139" s="30"/>
    </x:row>
    <x:row r="140">
      <x:c r="A140" s="158"/>
      <x:c r="B140" s="44"/>
      <x:c r="C140" s="40"/>
      <x:c r="D140" s="30"/>
      <x:c r="E140" s="30"/>
      <x:c r="F140" s="30"/>
      <x:c r="G140" s="30"/>
      <x:c r="H140" s="30"/>
      <x:c r="I140" s="40"/>
      <x:c r="J140" s="30"/>
      <x:c r="K140" s="30"/>
      <x:c r="L140" s="30"/>
      <x:c r="M140" s="30"/>
      <x:c r="N140" s="30"/>
      <x:c r="O140" s="30"/>
      <x:c r="P140" s="30"/>
      <x:c r="R140" s="160" t="str">
        <x:f>IF(A140="","",A140)</x:f>
      </x:c>
      <x:c r="S140" s="126" t="str">
        <x:f>IF(B140="","",B140)</x:f>
      </x:c>
      <x:c r="T140" s="36" t="str">
        <x:f>IF(S140="","",IFERROR(INDEX('02_Öğrenciler'!$B$5:$B$203,MATCH(S140,'02_Öğrenciler'!$A$5:$A$203,0)),"KOD HATALI"))</x:f>
      </x:c>
      <x:c r="U140" s="36" t="str">
        <x:f>IF(S140="","",IFERROR(INDEX('02_Öğrenciler'!$C$5:$C$203,MATCH(S140,'02_Öğrenciler'!$A$5:$A$203,0)),""))</x:f>
      </x:c>
      <x:c r="V140" s="132" t="str">
        <x:f>IF(C140="","",C140)</x:f>
      </x:c>
      <x:c r="W140" s="36" t="str">
        <x:f>IF(D140="","",D140)</x:f>
      </x:c>
      <x:c r="X140" s="36" t="str">
        <x:f>IF(E140="","",E140)</x:f>
      </x:c>
      <x:c r="Y140" s="36" t="str">
        <x:f>IF(F140="","",F140)</x:f>
      </x:c>
      <x:c r="Z140" s="36" t="str">
        <x:f>IF(G140="","",G140)</x:f>
      </x:c>
      <x:c r="AA140" s="36" t="str">
        <x:f>IF(OR(Y140="",Z140=""),"",Y140-Z140)</x:f>
      </x:c>
      <x:c r="AB140" s="52" t="str">
        <x:f>IF(OR(Y140="",Z140=""),"",IFERROR(Z140/Y140,0))</x:f>
      </x:c>
      <x:c r="AC140" s="36" t="str">
        <x:f>IF(H140="","",H140)</x:f>
      </x:c>
      <x:c r="AD140" s="132" t="str">
        <x:f>IF(I140="","",I140)</x:f>
      </x:c>
      <x:c r="AE140" s="36" t="str">
        <x:f>IF(J140="","",J140)</x:f>
      </x:c>
      <x:c r="AF140" s="36" t="str">
        <x:f>IF(K140="","",K140)</x:f>
      </x:c>
      <x:c r="AG140" s="36" t="str">
        <x:f>IF(L140="","",L140)</x:f>
      </x:c>
      <x:c r="AH140" s="36" t="str">
        <x:f>IF(M140="","",M140)</x:f>
      </x:c>
      <x:c r="AI140" s="36" t="str">
        <x:f>IF(N140="","",N140)</x:f>
      </x:c>
      <x:c r="AJ140" s="36" t="str">
        <x:f>IF(O140="","",O140)</x:f>
      </x:c>
      <x:c r="AK140" s="36" t="str">
        <x:f>IF(P140="","",P140)</x:f>
      </x:c>
      <x:c r="AL140" s="36" t="str">
        <x:f>IF(R140="","",TEXT(R140,"yyyymmddhhmmss")&amp;"-"&amp;S140&amp;"-"&amp;TEXT(ROW()-4,"0000"))</x:f>
      </x:c>
      <x:c r="AM140" s="36" t="str">
        <x:f>IF(R140="","",IF(T140="KOD HATALI","Öğrenci Kodu Hatalı",IF(OR(V140="",W140="",X140="",Y140="",Z140="",AF140="",AG140="",AJ140="",AK140=""),"Eksik Zorunlu Alan",IF(OR(Y140&lt;0,Z140&lt;0,Z140&gt;Y140),"Soru Sayısı Hatası",IF(AND(AD140&lt;&gt;"",AD140&lt;V140),"Ödev Tarihi Hatası",IF(COUNTIF($AL$5:AL140,AL140)&gt;1,"Mükerrer Form Kaydı","Aktarıma Hazır"))))))</x:f>
      </x:c>
      <x:c r="AN140" s="30"/>
      <x:c r="AO140" s="40"/>
      <x:c r="AP140" s="30"/>
    </x:row>
    <x:row r="141">
      <x:c r="A141" s="158"/>
      <x:c r="B141" s="44"/>
      <x:c r="C141" s="40"/>
      <x:c r="D141" s="30"/>
      <x:c r="E141" s="30"/>
      <x:c r="F141" s="30"/>
      <x:c r="G141" s="30"/>
      <x:c r="H141" s="30"/>
      <x:c r="I141" s="40"/>
      <x:c r="J141" s="30"/>
      <x:c r="K141" s="30"/>
      <x:c r="L141" s="30"/>
      <x:c r="M141" s="30"/>
      <x:c r="N141" s="30"/>
      <x:c r="O141" s="30"/>
      <x:c r="P141" s="30"/>
      <x:c r="R141" s="160" t="str">
        <x:f>IF(A141="","",A141)</x:f>
      </x:c>
      <x:c r="S141" s="126" t="str">
        <x:f>IF(B141="","",B141)</x:f>
      </x:c>
      <x:c r="T141" s="36" t="str">
        <x:f>IF(S141="","",IFERROR(INDEX('02_Öğrenciler'!$B$5:$B$203,MATCH(S141,'02_Öğrenciler'!$A$5:$A$203,0)),"KOD HATALI"))</x:f>
      </x:c>
      <x:c r="U141" s="36" t="str">
        <x:f>IF(S141="","",IFERROR(INDEX('02_Öğrenciler'!$C$5:$C$203,MATCH(S141,'02_Öğrenciler'!$A$5:$A$203,0)),""))</x:f>
      </x:c>
      <x:c r="V141" s="132" t="str">
        <x:f>IF(C141="","",C141)</x:f>
      </x:c>
      <x:c r="W141" s="36" t="str">
        <x:f>IF(D141="","",D141)</x:f>
      </x:c>
      <x:c r="X141" s="36" t="str">
        <x:f>IF(E141="","",E141)</x:f>
      </x:c>
      <x:c r="Y141" s="36" t="str">
        <x:f>IF(F141="","",F141)</x:f>
      </x:c>
      <x:c r="Z141" s="36" t="str">
        <x:f>IF(G141="","",G141)</x:f>
      </x:c>
      <x:c r="AA141" s="36" t="str">
        <x:f>IF(OR(Y141="",Z141=""),"",Y141-Z141)</x:f>
      </x:c>
      <x:c r="AB141" s="52" t="str">
        <x:f>IF(OR(Y141="",Z141=""),"",IFERROR(Z141/Y141,0))</x:f>
      </x:c>
      <x:c r="AC141" s="36" t="str">
        <x:f>IF(H141="","",H141)</x:f>
      </x:c>
      <x:c r="AD141" s="132" t="str">
        <x:f>IF(I141="","",I141)</x:f>
      </x:c>
      <x:c r="AE141" s="36" t="str">
        <x:f>IF(J141="","",J141)</x:f>
      </x:c>
      <x:c r="AF141" s="36" t="str">
        <x:f>IF(K141="","",K141)</x:f>
      </x:c>
      <x:c r="AG141" s="36" t="str">
        <x:f>IF(L141="","",L141)</x:f>
      </x:c>
      <x:c r="AH141" s="36" t="str">
        <x:f>IF(M141="","",M141)</x:f>
      </x:c>
      <x:c r="AI141" s="36" t="str">
        <x:f>IF(N141="","",N141)</x:f>
      </x:c>
      <x:c r="AJ141" s="36" t="str">
        <x:f>IF(O141="","",O141)</x:f>
      </x:c>
      <x:c r="AK141" s="36" t="str">
        <x:f>IF(P141="","",P141)</x:f>
      </x:c>
      <x:c r="AL141" s="36" t="str">
        <x:f>IF(R141="","",TEXT(R141,"yyyymmddhhmmss")&amp;"-"&amp;S141&amp;"-"&amp;TEXT(ROW()-4,"0000"))</x:f>
      </x:c>
      <x:c r="AM141" s="36" t="str">
        <x:f>IF(R141="","",IF(T141="KOD HATALI","Öğrenci Kodu Hatalı",IF(OR(V141="",W141="",X141="",Y141="",Z141="",AF141="",AG141="",AJ141="",AK141=""),"Eksik Zorunlu Alan",IF(OR(Y141&lt;0,Z141&lt;0,Z141&gt;Y141),"Soru Sayısı Hatası",IF(AND(AD141&lt;&gt;"",AD141&lt;V141),"Ödev Tarihi Hatası",IF(COUNTIF($AL$5:AL141,AL141)&gt;1,"Mükerrer Form Kaydı","Aktarıma Hazır"))))))</x:f>
      </x:c>
      <x:c r="AN141" s="30"/>
      <x:c r="AO141" s="40"/>
      <x:c r="AP141" s="30"/>
    </x:row>
    <x:row r="142">
      <x:c r="A142" s="158"/>
      <x:c r="B142" s="44"/>
      <x:c r="C142" s="40"/>
      <x:c r="D142" s="30"/>
      <x:c r="E142" s="30"/>
      <x:c r="F142" s="30"/>
      <x:c r="G142" s="30"/>
      <x:c r="H142" s="30"/>
      <x:c r="I142" s="40"/>
      <x:c r="J142" s="30"/>
      <x:c r="K142" s="30"/>
      <x:c r="L142" s="30"/>
      <x:c r="M142" s="30"/>
      <x:c r="N142" s="30"/>
      <x:c r="O142" s="30"/>
      <x:c r="P142" s="30"/>
      <x:c r="R142" s="160" t="str">
        <x:f>IF(A142="","",A142)</x:f>
      </x:c>
      <x:c r="S142" s="126" t="str">
        <x:f>IF(B142="","",B142)</x:f>
      </x:c>
      <x:c r="T142" s="36" t="str">
        <x:f>IF(S142="","",IFERROR(INDEX('02_Öğrenciler'!$B$5:$B$203,MATCH(S142,'02_Öğrenciler'!$A$5:$A$203,0)),"KOD HATALI"))</x:f>
      </x:c>
      <x:c r="U142" s="36" t="str">
        <x:f>IF(S142="","",IFERROR(INDEX('02_Öğrenciler'!$C$5:$C$203,MATCH(S142,'02_Öğrenciler'!$A$5:$A$203,0)),""))</x:f>
      </x:c>
      <x:c r="V142" s="132" t="str">
        <x:f>IF(C142="","",C142)</x:f>
      </x:c>
      <x:c r="W142" s="36" t="str">
        <x:f>IF(D142="","",D142)</x:f>
      </x:c>
      <x:c r="X142" s="36" t="str">
        <x:f>IF(E142="","",E142)</x:f>
      </x:c>
      <x:c r="Y142" s="36" t="str">
        <x:f>IF(F142="","",F142)</x:f>
      </x:c>
      <x:c r="Z142" s="36" t="str">
        <x:f>IF(G142="","",G142)</x:f>
      </x:c>
      <x:c r="AA142" s="36" t="str">
        <x:f>IF(OR(Y142="",Z142=""),"",Y142-Z142)</x:f>
      </x:c>
      <x:c r="AB142" s="52" t="str">
        <x:f>IF(OR(Y142="",Z142=""),"",IFERROR(Z142/Y142,0))</x:f>
      </x:c>
      <x:c r="AC142" s="36" t="str">
        <x:f>IF(H142="","",H142)</x:f>
      </x:c>
      <x:c r="AD142" s="132" t="str">
        <x:f>IF(I142="","",I142)</x:f>
      </x:c>
      <x:c r="AE142" s="36" t="str">
        <x:f>IF(J142="","",J142)</x:f>
      </x:c>
      <x:c r="AF142" s="36" t="str">
        <x:f>IF(K142="","",K142)</x:f>
      </x:c>
      <x:c r="AG142" s="36" t="str">
        <x:f>IF(L142="","",L142)</x:f>
      </x:c>
      <x:c r="AH142" s="36" t="str">
        <x:f>IF(M142="","",M142)</x:f>
      </x:c>
      <x:c r="AI142" s="36" t="str">
        <x:f>IF(N142="","",N142)</x:f>
      </x:c>
      <x:c r="AJ142" s="36" t="str">
        <x:f>IF(O142="","",O142)</x:f>
      </x:c>
      <x:c r="AK142" s="36" t="str">
        <x:f>IF(P142="","",P142)</x:f>
      </x:c>
      <x:c r="AL142" s="36" t="str">
        <x:f>IF(R142="","",TEXT(R142,"yyyymmddhhmmss")&amp;"-"&amp;S142&amp;"-"&amp;TEXT(ROW()-4,"0000"))</x:f>
      </x:c>
      <x:c r="AM142" s="36" t="str">
        <x:f>IF(R142="","",IF(T142="KOD HATALI","Öğrenci Kodu Hatalı",IF(OR(V142="",W142="",X142="",Y142="",Z142="",AF142="",AG142="",AJ142="",AK142=""),"Eksik Zorunlu Alan",IF(OR(Y142&lt;0,Z142&lt;0,Z142&gt;Y142),"Soru Sayısı Hatası",IF(AND(AD142&lt;&gt;"",AD142&lt;V142),"Ödev Tarihi Hatası",IF(COUNTIF($AL$5:AL142,AL142)&gt;1,"Mükerrer Form Kaydı","Aktarıma Hazır"))))))</x:f>
      </x:c>
      <x:c r="AN142" s="30"/>
      <x:c r="AO142" s="40"/>
      <x:c r="AP142" s="30"/>
    </x:row>
    <x:row r="143">
      <x:c r="A143" s="158"/>
      <x:c r="B143" s="44"/>
      <x:c r="C143" s="40"/>
      <x:c r="D143" s="30"/>
      <x:c r="E143" s="30"/>
      <x:c r="F143" s="30"/>
      <x:c r="G143" s="30"/>
      <x:c r="H143" s="30"/>
      <x:c r="I143" s="40"/>
      <x:c r="J143" s="30"/>
      <x:c r="K143" s="30"/>
      <x:c r="L143" s="30"/>
      <x:c r="M143" s="30"/>
      <x:c r="N143" s="30"/>
      <x:c r="O143" s="30"/>
      <x:c r="P143" s="30"/>
      <x:c r="R143" s="160" t="str">
        <x:f>IF(A143="","",A143)</x:f>
      </x:c>
      <x:c r="S143" s="126" t="str">
        <x:f>IF(B143="","",B143)</x:f>
      </x:c>
      <x:c r="T143" s="36" t="str">
        <x:f>IF(S143="","",IFERROR(INDEX('02_Öğrenciler'!$B$5:$B$203,MATCH(S143,'02_Öğrenciler'!$A$5:$A$203,0)),"KOD HATALI"))</x:f>
      </x:c>
      <x:c r="U143" s="36" t="str">
        <x:f>IF(S143="","",IFERROR(INDEX('02_Öğrenciler'!$C$5:$C$203,MATCH(S143,'02_Öğrenciler'!$A$5:$A$203,0)),""))</x:f>
      </x:c>
      <x:c r="V143" s="132" t="str">
        <x:f>IF(C143="","",C143)</x:f>
      </x:c>
      <x:c r="W143" s="36" t="str">
        <x:f>IF(D143="","",D143)</x:f>
      </x:c>
      <x:c r="X143" s="36" t="str">
        <x:f>IF(E143="","",E143)</x:f>
      </x:c>
      <x:c r="Y143" s="36" t="str">
        <x:f>IF(F143="","",F143)</x:f>
      </x:c>
      <x:c r="Z143" s="36" t="str">
        <x:f>IF(G143="","",G143)</x:f>
      </x:c>
      <x:c r="AA143" s="36" t="str">
        <x:f>IF(OR(Y143="",Z143=""),"",Y143-Z143)</x:f>
      </x:c>
      <x:c r="AB143" s="52" t="str">
        <x:f>IF(OR(Y143="",Z143=""),"",IFERROR(Z143/Y143,0))</x:f>
      </x:c>
      <x:c r="AC143" s="36" t="str">
        <x:f>IF(H143="","",H143)</x:f>
      </x:c>
      <x:c r="AD143" s="132" t="str">
        <x:f>IF(I143="","",I143)</x:f>
      </x:c>
      <x:c r="AE143" s="36" t="str">
        <x:f>IF(J143="","",J143)</x:f>
      </x:c>
      <x:c r="AF143" s="36" t="str">
        <x:f>IF(K143="","",K143)</x:f>
      </x:c>
      <x:c r="AG143" s="36" t="str">
        <x:f>IF(L143="","",L143)</x:f>
      </x:c>
      <x:c r="AH143" s="36" t="str">
        <x:f>IF(M143="","",M143)</x:f>
      </x:c>
      <x:c r="AI143" s="36" t="str">
        <x:f>IF(N143="","",N143)</x:f>
      </x:c>
      <x:c r="AJ143" s="36" t="str">
        <x:f>IF(O143="","",O143)</x:f>
      </x:c>
      <x:c r="AK143" s="36" t="str">
        <x:f>IF(P143="","",P143)</x:f>
      </x:c>
      <x:c r="AL143" s="36" t="str">
        <x:f>IF(R143="","",TEXT(R143,"yyyymmddhhmmss")&amp;"-"&amp;S143&amp;"-"&amp;TEXT(ROW()-4,"0000"))</x:f>
      </x:c>
      <x:c r="AM143" s="36" t="str">
        <x:f>IF(R143="","",IF(T143="KOD HATALI","Öğrenci Kodu Hatalı",IF(OR(V143="",W143="",X143="",Y143="",Z143="",AF143="",AG143="",AJ143="",AK143=""),"Eksik Zorunlu Alan",IF(OR(Y143&lt;0,Z143&lt;0,Z143&gt;Y143),"Soru Sayısı Hatası",IF(AND(AD143&lt;&gt;"",AD143&lt;V143),"Ödev Tarihi Hatası",IF(COUNTIF($AL$5:AL143,AL143)&gt;1,"Mükerrer Form Kaydı","Aktarıma Hazır"))))))</x:f>
      </x:c>
      <x:c r="AN143" s="30"/>
      <x:c r="AO143" s="40"/>
      <x:c r="AP143" s="30"/>
    </x:row>
    <x:row r="144">
      <x:c r="A144" s="158"/>
      <x:c r="B144" s="44"/>
      <x:c r="C144" s="40"/>
      <x:c r="D144" s="30"/>
      <x:c r="E144" s="30"/>
      <x:c r="F144" s="30"/>
      <x:c r="G144" s="30"/>
      <x:c r="H144" s="30"/>
      <x:c r="I144" s="40"/>
      <x:c r="J144" s="30"/>
      <x:c r="K144" s="30"/>
      <x:c r="L144" s="30"/>
      <x:c r="M144" s="30"/>
      <x:c r="N144" s="30"/>
      <x:c r="O144" s="30"/>
      <x:c r="P144" s="30"/>
      <x:c r="R144" s="160" t="str">
        <x:f>IF(A144="","",A144)</x:f>
      </x:c>
      <x:c r="S144" s="126" t="str">
        <x:f>IF(B144="","",B144)</x:f>
      </x:c>
      <x:c r="T144" s="36" t="str">
        <x:f>IF(S144="","",IFERROR(INDEX('02_Öğrenciler'!$B$5:$B$203,MATCH(S144,'02_Öğrenciler'!$A$5:$A$203,0)),"KOD HATALI"))</x:f>
      </x:c>
      <x:c r="U144" s="36" t="str">
        <x:f>IF(S144="","",IFERROR(INDEX('02_Öğrenciler'!$C$5:$C$203,MATCH(S144,'02_Öğrenciler'!$A$5:$A$203,0)),""))</x:f>
      </x:c>
      <x:c r="V144" s="132" t="str">
        <x:f>IF(C144="","",C144)</x:f>
      </x:c>
      <x:c r="W144" s="36" t="str">
        <x:f>IF(D144="","",D144)</x:f>
      </x:c>
      <x:c r="X144" s="36" t="str">
        <x:f>IF(E144="","",E144)</x:f>
      </x:c>
      <x:c r="Y144" s="36" t="str">
        <x:f>IF(F144="","",F144)</x:f>
      </x:c>
      <x:c r="Z144" s="36" t="str">
        <x:f>IF(G144="","",G144)</x:f>
      </x:c>
      <x:c r="AA144" s="36" t="str">
        <x:f>IF(OR(Y144="",Z144=""),"",Y144-Z144)</x:f>
      </x:c>
      <x:c r="AB144" s="52" t="str">
        <x:f>IF(OR(Y144="",Z144=""),"",IFERROR(Z144/Y144,0))</x:f>
      </x:c>
      <x:c r="AC144" s="36" t="str">
        <x:f>IF(H144="","",H144)</x:f>
      </x:c>
      <x:c r="AD144" s="132" t="str">
        <x:f>IF(I144="","",I144)</x:f>
      </x:c>
      <x:c r="AE144" s="36" t="str">
        <x:f>IF(J144="","",J144)</x:f>
      </x:c>
      <x:c r="AF144" s="36" t="str">
        <x:f>IF(K144="","",K144)</x:f>
      </x:c>
      <x:c r="AG144" s="36" t="str">
        <x:f>IF(L144="","",L144)</x:f>
      </x:c>
      <x:c r="AH144" s="36" t="str">
        <x:f>IF(M144="","",M144)</x:f>
      </x:c>
      <x:c r="AI144" s="36" t="str">
        <x:f>IF(N144="","",N144)</x:f>
      </x:c>
      <x:c r="AJ144" s="36" t="str">
        <x:f>IF(O144="","",O144)</x:f>
      </x:c>
      <x:c r="AK144" s="36" t="str">
        <x:f>IF(P144="","",P144)</x:f>
      </x:c>
      <x:c r="AL144" s="36" t="str">
        <x:f>IF(R144="","",TEXT(R144,"yyyymmddhhmmss")&amp;"-"&amp;S144&amp;"-"&amp;TEXT(ROW()-4,"0000"))</x:f>
      </x:c>
      <x:c r="AM144" s="36" t="str">
        <x:f>IF(R144="","",IF(T144="KOD HATALI","Öğrenci Kodu Hatalı",IF(OR(V144="",W144="",X144="",Y144="",Z144="",AF144="",AG144="",AJ144="",AK144=""),"Eksik Zorunlu Alan",IF(OR(Y144&lt;0,Z144&lt;0,Z144&gt;Y144),"Soru Sayısı Hatası",IF(AND(AD144&lt;&gt;"",AD144&lt;V144),"Ödev Tarihi Hatası",IF(COUNTIF($AL$5:AL144,AL144)&gt;1,"Mükerrer Form Kaydı","Aktarıma Hazır"))))))</x:f>
      </x:c>
      <x:c r="AN144" s="30"/>
      <x:c r="AO144" s="40"/>
      <x:c r="AP144" s="30"/>
    </x:row>
    <x:row r="145">
      <x:c r="A145" s="158"/>
      <x:c r="B145" s="44"/>
      <x:c r="C145" s="40"/>
      <x:c r="D145" s="30"/>
      <x:c r="E145" s="30"/>
      <x:c r="F145" s="30"/>
      <x:c r="G145" s="30"/>
      <x:c r="H145" s="30"/>
      <x:c r="I145" s="40"/>
      <x:c r="J145" s="30"/>
      <x:c r="K145" s="30"/>
      <x:c r="L145" s="30"/>
      <x:c r="M145" s="30"/>
      <x:c r="N145" s="30"/>
      <x:c r="O145" s="30"/>
      <x:c r="P145" s="30"/>
      <x:c r="R145" s="160" t="str">
        <x:f>IF(A145="","",A145)</x:f>
      </x:c>
      <x:c r="S145" s="126" t="str">
        <x:f>IF(B145="","",B145)</x:f>
      </x:c>
      <x:c r="T145" s="36" t="str">
        <x:f>IF(S145="","",IFERROR(INDEX('02_Öğrenciler'!$B$5:$B$203,MATCH(S145,'02_Öğrenciler'!$A$5:$A$203,0)),"KOD HATALI"))</x:f>
      </x:c>
      <x:c r="U145" s="36" t="str">
        <x:f>IF(S145="","",IFERROR(INDEX('02_Öğrenciler'!$C$5:$C$203,MATCH(S145,'02_Öğrenciler'!$A$5:$A$203,0)),""))</x:f>
      </x:c>
      <x:c r="V145" s="132" t="str">
        <x:f>IF(C145="","",C145)</x:f>
      </x:c>
      <x:c r="W145" s="36" t="str">
        <x:f>IF(D145="","",D145)</x:f>
      </x:c>
      <x:c r="X145" s="36" t="str">
        <x:f>IF(E145="","",E145)</x:f>
      </x:c>
      <x:c r="Y145" s="36" t="str">
        <x:f>IF(F145="","",F145)</x:f>
      </x:c>
      <x:c r="Z145" s="36" t="str">
        <x:f>IF(G145="","",G145)</x:f>
      </x:c>
      <x:c r="AA145" s="36" t="str">
        <x:f>IF(OR(Y145="",Z145=""),"",Y145-Z145)</x:f>
      </x:c>
      <x:c r="AB145" s="52" t="str">
        <x:f>IF(OR(Y145="",Z145=""),"",IFERROR(Z145/Y145,0))</x:f>
      </x:c>
      <x:c r="AC145" s="36" t="str">
        <x:f>IF(H145="","",H145)</x:f>
      </x:c>
      <x:c r="AD145" s="132" t="str">
        <x:f>IF(I145="","",I145)</x:f>
      </x:c>
      <x:c r="AE145" s="36" t="str">
        <x:f>IF(J145="","",J145)</x:f>
      </x:c>
      <x:c r="AF145" s="36" t="str">
        <x:f>IF(K145="","",K145)</x:f>
      </x:c>
      <x:c r="AG145" s="36" t="str">
        <x:f>IF(L145="","",L145)</x:f>
      </x:c>
      <x:c r="AH145" s="36" t="str">
        <x:f>IF(M145="","",M145)</x:f>
      </x:c>
      <x:c r="AI145" s="36" t="str">
        <x:f>IF(N145="","",N145)</x:f>
      </x:c>
      <x:c r="AJ145" s="36" t="str">
        <x:f>IF(O145="","",O145)</x:f>
      </x:c>
      <x:c r="AK145" s="36" t="str">
        <x:f>IF(P145="","",P145)</x:f>
      </x:c>
      <x:c r="AL145" s="36" t="str">
        <x:f>IF(R145="","",TEXT(R145,"yyyymmddhhmmss")&amp;"-"&amp;S145&amp;"-"&amp;TEXT(ROW()-4,"0000"))</x:f>
      </x:c>
      <x:c r="AM145" s="36" t="str">
        <x:f>IF(R145="","",IF(T145="KOD HATALI","Öğrenci Kodu Hatalı",IF(OR(V145="",W145="",X145="",Y145="",Z145="",AF145="",AG145="",AJ145="",AK145=""),"Eksik Zorunlu Alan",IF(OR(Y145&lt;0,Z145&lt;0,Z145&gt;Y145),"Soru Sayısı Hatası",IF(AND(AD145&lt;&gt;"",AD145&lt;V145),"Ödev Tarihi Hatası",IF(COUNTIF($AL$5:AL145,AL145)&gt;1,"Mükerrer Form Kaydı","Aktarıma Hazır"))))))</x:f>
      </x:c>
      <x:c r="AN145" s="30"/>
      <x:c r="AO145" s="40"/>
      <x:c r="AP145" s="30"/>
    </x:row>
    <x:row r="146">
      <x:c r="A146" s="158"/>
      <x:c r="B146" s="44"/>
      <x:c r="C146" s="40"/>
      <x:c r="D146" s="30"/>
      <x:c r="E146" s="30"/>
      <x:c r="F146" s="30"/>
      <x:c r="G146" s="30"/>
      <x:c r="H146" s="30"/>
      <x:c r="I146" s="40"/>
      <x:c r="J146" s="30"/>
      <x:c r="K146" s="30"/>
      <x:c r="L146" s="30"/>
      <x:c r="M146" s="30"/>
      <x:c r="N146" s="30"/>
      <x:c r="O146" s="30"/>
      <x:c r="P146" s="30"/>
      <x:c r="R146" s="160" t="str">
        <x:f>IF(A146="","",A146)</x:f>
      </x:c>
      <x:c r="S146" s="126" t="str">
        <x:f>IF(B146="","",B146)</x:f>
      </x:c>
      <x:c r="T146" s="36" t="str">
        <x:f>IF(S146="","",IFERROR(INDEX('02_Öğrenciler'!$B$5:$B$203,MATCH(S146,'02_Öğrenciler'!$A$5:$A$203,0)),"KOD HATALI"))</x:f>
      </x:c>
      <x:c r="U146" s="36" t="str">
        <x:f>IF(S146="","",IFERROR(INDEX('02_Öğrenciler'!$C$5:$C$203,MATCH(S146,'02_Öğrenciler'!$A$5:$A$203,0)),""))</x:f>
      </x:c>
      <x:c r="V146" s="132" t="str">
        <x:f>IF(C146="","",C146)</x:f>
      </x:c>
      <x:c r="W146" s="36" t="str">
        <x:f>IF(D146="","",D146)</x:f>
      </x:c>
      <x:c r="X146" s="36" t="str">
        <x:f>IF(E146="","",E146)</x:f>
      </x:c>
      <x:c r="Y146" s="36" t="str">
        <x:f>IF(F146="","",F146)</x:f>
      </x:c>
      <x:c r="Z146" s="36" t="str">
        <x:f>IF(G146="","",G146)</x:f>
      </x:c>
      <x:c r="AA146" s="36" t="str">
        <x:f>IF(OR(Y146="",Z146=""),"",Y146-Z146)</x:f>
      </x:c>
      <x:c r="AB146" s="52" t="str">
        <x:f>IF(OR(Y146="",Z146=""),"",IFERROR(Z146/Y146,0))</x:f>
      </x:c>
      <x:c r="AC146" s="36" t="str">
        <x:f>IF(H146="","",H146)</x:f>
      </x:c>
      <x:c r="AD146" s="132" t="str">
        <x:f>IF(I146="","",I146)</x:f>
      </x:c>
      <x:c r="AE146" s="36" t="str">
        <x:f>IF(J146="","",J146)</x:f>
      </x:c>
      <x:c r="AF146" s="36" t="str">
        <x:f>IF(K146="","",K146)</x:f>
      </x:c>
      <x:c r="AG146" s="36" t="str">
        <x:f>IF(L146="","",L146)</x:f>
      </x:c>
      <x:c r="AH146" s="36" t="str">
        <x:f>IF(M146="","",M146)</x:f>
      </x:c>
      <x:c r="AI146" s="36" t="str">
        <x:f>IF(N146="","",N146)</x:f>
      </x:c>
      <x:c r="AJ146" s="36" t="str">
        <x:f>IF(O146="","",O146)</x:f>
      </x:c>
      <x:c r="AK146" s="36" t="str">
        <x:f>IF(P146="","",P146)</x:f>
      </x:c>
      <x:c r="AL146" s="36" t="str">
        <x:f>IF(R146="","",TEXT(R146,"yyyymmddhhmmss")&amp;"-"&amp;S146&amp;"-"&amp;TEXT(ROW()-4,"0000"))</x:f>
      </x:c>
      <x:c r="AM146" s="36" t="str">
        <x:f>IF(R146="","",IF(T146="KOD HATALI","Öğrenci Kodu Hatalı",IF(OR(V146="",W146="",X146="",Y146="",Z146="",AF146="",AG146="",AJ146="",AK146=""),"Eksik Zorunlu Alan",IF(OR(Y146&lt;0,Z146&lt;0,Z146&gt;Y146),"Soru Sayısı Hatası",IF(AND(AD146&lt;&gt;"",AD146&lt;V146),"Ödev Tarihi Hatası",IF(COUNTIF($AL$5:AL146,AL146)&gt;1,"Mükerrer Form Kaydı","Aktarıma Hazır"))))))</x:f>
      </x:c>
      <x:c r="AN146" s="30"/>
      <x:c r="AO146" s="40"/>
      <x:c r="AP146" s="30"/>
    </x:row>
    <x:row r="147">
      <x:c r="A147" s="158"/>
      <x:c r="B147" s="44"/>
      <x:c r="C147" s="40"/>
      <x:c r="D147" s="30"/>
      <x:c r="E147" s="30"/>
      <x:c r="F147" s="30"/>
      <x:c r="G147" s="30"/>
      <x:c r="H147" s="30"/>
      <x:c r="I147" s="40"/>
      <x:c r="J147" s="30"/>
      <x:c r="K147" s="30"/>
      <x:c r="L147" s="30"/>
      <x:c r="M147" s="30"/>
      <x:c r="N147" s="30"/>
      <x:c r="O147" s="30"/>
      <x:c r="P147" s="30"/>
      <x:c r="R147" s="160" t="str">
        <x:f>IF(A147="","",A147)</x:f>
      </x:c>
      <x:c r="S147" s="126" t="str">
        <x:f>IF(B147="","",B147)</x:f>
      </x:c>
      <x:c r="T147" s="36" t="str">
        <x:f>IF(S147="","",IFERROR(INDEX('02_Öğrenciler'!$B$5:$B$203,MATCH(S147,'02_Öğrenciler'!$A$5:$A$203,0)),"KOD HATALI"))</x:f>
      </x:c>
      <x:c r="U147" s="36" t="str">
        <x:f>IF(S147="","",IFERROR(INDEX('02_Öğrenciler'!$C$5:$C$203,MATCH(S147,'02_Öğrenciler'!$A$5:$A$203,0)),""))</x:f>
      </x:c>
      <x:c r="V147" s="132" t="str">
        <x:f>IF(C147="","",C147)</x:f>
      </x:c>
      <x:c r="W147" s="36" t="str">
        <x:f>IF(D147="","",D147)</x:f>
      </x:c>
      <x:c r="X147" s="36" t="str">
        <x:f>IF(E147="","",E147)</x:f>
      </x:c>
      <x:c r="Y147" s="36" t="str">
        <x:f>IF(F147="","",F147)</x:f>
      </x:c>
      <x:c r="Z147" s="36" t="str">
        <x:f>IF(G147="","",G147)</x:f>
      </x:c>
      <x:c r="AA147" s="36" t="str">
        <x:f>IF(OR(Y147="",Z147=""),"",Y147-Z147)</x:f>
      </x:c>
      <x:c r="AB147" s="52" t="str">
        <x:f>IF(OR(Y147="",Z147=""),"",IFERROR(Z147/Y147,0))</x:f>
      </x:c>
      <x:c r="AC147" s="36" t="str">
        <x:f>IF(H147="","",H147)</x:f>
      </x:c>
      <x:c r="AD147" s="132" t="str">
        <x:f>IF(I147="","",I147)</x:f>
      </x:c>
      <x:c r="AE147" s="36" t="str">
        <x:f>IF(J147="","",J147)</x:f>
      </x:c>
      <x:c r="AF147" s="36" t="str">
        <x:f>IF(K147="","",K147)</x:f>
      </x:c>
      <x:c r="AG147" s="36" t="str">
        <x:f>IF(L147="","",L147)</x:f>
      </x:c>
      <x:c r="AH147" s="36" t="str">
        <x:f>IF(M147="","",M147)</x:f>
      </x:c>
      <x:c r="AI147" s="36" t="str">
        <x:f>IF(N147="","",N147)</x:f>
      </x:c>
      <x:c r="AJ147" s="36" t="str">
        <x:f>IF(O147="","",O147)</x:f>
      </x:c>
      <x:c r="AK147" s="36" t="str">
        <x:f>IF(P147="","",P147)</x:f>
      </x:c>
      <x:c r="AL147" s="36" t="str">
        <x:f>IF(R147="","",TEXT(R147,"yyyymmddhhmmss")&amp;"-"&amp;S147&amp;"-"&amp;TEXT(ROW()-4,"0000"))</x:f>
      </x:c>
      <x:c r="AM147" s="36" t="str">
        <x:f>IF(R147="","",IF(T147="KOD HATALI","Öğrenci Kodu Hatalı",IF(OR(V147="",W147="",X147="",Y147="",Z147="",AF147="",AG147="",AJ147="",AK147=""),"Eksik Zorunlu Alan",IF(OR(Y147&lt;0,Z147&lt;0,Z147&gt;Y147),"Soru Sayısı Hatası",IF(AND(AD147&lt;&gt;"",AD147&lt;V147),"Ödev Tarihi Hatası",IF(COUNTIF($AL$5:AL147,AL147)&gt;1,"Mükerrer Form Kaydı","Aktarıma Hazır"))))))</x:f>
      </x:c>
      <x:c r="AN147" s="30"/>
      <x:c r="AO147" s="40"/>
      <x:c r="AP147" s="30"/>
    </x:row>
    <x:row r="148">
      <x:c r="A148" s="158"/>
      <x:c r="B148" s="44"/>
      <x:c r="C148" s="40"/>
      <x:c r="D148" s="30"/>
      <x:c r="E148" s="30"/>
      <x:c r="F148" s="30"/>
      <x:c r="G148" s="30"/>
      <x:c r="H148" s="30"/>
      <x:c r="I148" s="40"/>
      <x:c r="J148" s="30"/>
      <x:c r="K148" s="30"/>
      <x:c r="L148" s="30"/>
      <x:c r="M148" s="30"/>
      <x:c r="N148" s="30"/>
      <x:c r="O148" s="30"/>
      <x:c r="P148" s="30"/>
      <x:c r="R148" s="160" t="str">
        <x:f>IF(A148="","",A148)</x:f>
      </x:c>
      <x:c r="S148" s="126" t="str">
        <x:f>IF(B148="","",B148)</x:f>
      </x:c>
      <x:c r="T148" s="36" t="str">
        <x:f>IF(S148="","",IFERROR(INDEX('02_Öğrenciler'!$B$5:$B$203,MATCH(S148,'02_Öğrenciler'!$A$5:$A$203,0)),"KOD HATALI"))</x:f>
      </x:c>
      <x:c r="U148" s="36" t="str">
        <x:f>IF(S148="","",IFERROR(INDEX('02_Öğrenciler'!$C$5:$C$203,MATCH(S148,'02_Öğrenciler'!$A$5:$A$203,0)),""))</x:f>
      </x:c>
      <x:c r="V148" s="132" t="str">
        <x:f>IF(C148="","",C148)</x:f>
      </x:c>
      <x:c r="W148" s="36" t="str">
        <x:f>IF(D148="","",D148)</x:f>
      </x:c>
      <x:c r="X148" s="36" t="str">
        <x:f>IF(E148="","",E148)</x:f>
      </x:c>
      <x:c r="Y148" s="36" t="str">
        <x:f>IF(F148="","",F148)</x:f>
      </x:c>
      <x:c r="Z148" s="36" t="str">
        <x:f>IF(G148="","",G148)</x:f>
      </x:c>
      <x:c r="AA148" s="36" t="str">
        <x:f>IF(OR(Y148="",Z148=""),"",Y148-Z148)</x:f>
      </x:c>
      <x:c r="AB148" s="52" t="str">
        <x:f>IF(OR(Y148="",Z148=""),"",IFERROR(Z148/Y148,0))</x:f>
      </x:c>
      <x:c r="AC148" s="36" t="str">
        <x:f>IF(H148="","",H148)</x:f>
      </x:c>
      <x:c r="AD148" s="132" t="str">
        <x:f>IF(I148="","",I148)</x:f>
      </x:c>
      <x:c r="AE148" s="36" t="str">
        <x:f>IF(J148="","",J148)</x:f>
      </x:c>
      <x:c r="AF148" s="36" t="str">
        <x:f>IF(K148="","",K148)</x:f>
      </x:c>
      <x:c r="AG148" s="36" t="str">
        <x:f>IF(L148="","",L148)</x:f>
      </x:c>
      <x:c r="AH148" s="36" t="str">
        <x:f>IF(M148="","",M148)</x:f>
      </x:c>
      <x:c r="AI148" s="36" t="str">
        <x:f>IF(N148="","",N148)</x:f>
      </x:c>
      <x:c r="AJ148" s="36" t="str">
        <x:f>IF(O148="","",O148)</x:f>
      </x:c>
      <x:c r="AK148" s="36" t="str">
        <x:f>IF(P148="","",P148)</x:f>
      </x:c>
      <x:c r="AL148" s="36" t="str">
        <x:f>IF(R148="","",TEXT(R148,"yyyymmddhhmmss")&amp;"-"&amp;S148&amp;"-"&amp;TEXT(ROW()-4,"0000"))</x:f>
      </x:c>
      <x:c r="AM148" s="36" t="str">
        <x:f>IF(R148="","",IF(T148="KOD HATALI","Öğrenci Kodu Hatalı",IF(OR(V148="",W148="",X148="",Y148="",Z148="",AF148="",AG148="",AJ148="",AK148=""),"Eksik Zorunlu Alan",IF(OR(Y148&lt;0,Z148&lt;0,Z148&gt;Y148),"Soru Sayısı Hatası",IF(AND(AD148&lt;&gt;"",AD148&lt;V148),"Ödev Tarihi Hatası",IF(COUNTIF($AL$5:AL148,AL148)&gt;1,"Mükerrer Form Kaydı","Aktarıma Hazır"))))))</x:f>
      </x:c>
      <x:c r="AN148" s="30"/>
      <x:c r="AO148" s="40"/>
      <x:c r="AP148" s="30"/>
    </x:row>
    <x:row r="149">
      <x:c r="A149" s="158"/>
      <x:c r="B149" s="44"/>
      <x:c r="C149" s="40"/>
      <x:c r="D149" s="30"/>
      <x:c r="E149" s="30"/>
      <x:c r="F149" s="30"/>
      <x:c r="G149" s="30"/>
      <x:c r="H149" s="30"/>
      <x:c r="I149" s="40"/>
      <x:c r="J149" s="30"/>
      <x:c r="K149" s="30"/>
      <x:c r="L149" s="30"/>
      <x:c r="M149" s="30"/>
      <x:c r="N149" s="30"/>
      <x:c r="O149" s="30"/>
      <x:c r="P149" s="30"/>
      <x:c r="R149" s="160" t="str">
        <x:f>IF(A149="","",A149)</x:f>
      </x:c>
      <x:c r="S149" s="126" t="str">
        <x:f>IF(B149="","",B149)</x:f>
      </x:c>
      <x:c r="T149" s="36" t="str">
        <x:f>IF(S149="","",IFERROR(INDEX('02_Öğrenciler'!$B$5:$B$203,MATCH(S149,'02_Öğrenciler'!$A$5:$A$203,0)),"KOD HATALI"))</x:f>
      </x:c>
      <x:c r="U149" s="36" t="str">
        <x:f>IF(S149="","",IFERROR(INDEX('02_Öğrenciler'!$C$5:$C$203,MATCH(S149,'02_Öğrenciler'!$A$5:$A$203,0)),""))</x:f>
      </x:c>
      <x:c r="V149" s="132" t="str">
        <x:f>IF(C149="","",C149)</x:f>
      </x:c>
      <x:c r="W149" s="36" t="str">
        <x:f>IF(D149="","",D149)</x:f>
      </x:c>
      <x:c r="X149" s="36" t="str">
        <x:f>IF(E149="","",E149)</x:f>
      </x:c>
      <x:c r="Y149" s="36" t="str">
        <x:f>IF(F149="","",F149)</x:f>
      </x:c>
      <x:c r="Z149" s="36" t="str">
        <x:f>IF(G149="","",G149)</x:f>
      </x:c>
      <x:c r="AA149" s="36" t="str">
        <x:f>IF(OR(Y149="",Z149=""),"",Y149-Z149)</x:f>
      </x:c>
      <x:c r="AB149" s="52" t="str">
        <x:f>IF(OR(Y149="",Z149=""),"",IFERROR(Z149/Y149,0))</x:f>
      </x:c>
      <x:c r="AC149" s="36" t="str">
        <x:f>IF(H149="","",H149)</x:f>
      </x:c>
      <x:c r="AD149" s="132" t="str">
        <x:f>IF(I149="","",I149)</x:f>
      </x:c>
      <x:c r="AE149" s="36" t="str">
        <x:f>IF(J149="","",J149)</x:f>
      </x:c>
      <x:c r="AF149" s="36" t="str">
        <x:f>IF(K149="","",K149)</x:f>
      </x:c>
      <x:c r="AG149" s="36" t="str">
        <x:f>IF(L149="","",L149)</x:f>
      </x:c>
      <x:c r="AH149" s="36" t="str">
        <x:f>IF(M149="","",M149)</x:f>
      </x:c>
      <x:c r="AI149" s="36" t="str">
        <x:f>IF(N149="","",N149)</x:f>
      </x:c>
      <x:c r="AJ149" s="36" t="str">
        <x:f>IF(O149="","",O149)</x:f>
      </x:c>
      <x:c r="AK149" s="36" t="str">
        <x:f>IF(P149="","",P149)</x:f>
      </x:c>
      <x:c r="AL149" s="36" t="str">
        <x:f>IF(R149="","",TEXT(R149,"yyyymmddhhmmss")&amp;"-"&amp;S149&amp;"-"&amp;TEXT(ROW()-4,"0000"))</x:f>
      </x:c>
      <x:c r="AM149" s="36" t="str">
        <x:f>IF(R149="","",IF(T149="KOD HATALI","Öğrenci Kodu Hatalı",IF(OR(V149="",W149="",X149="",Y149="",Z149="",AF149="",AG149="",AJ149="",AK149=""),"Eksik Zorunlu Alan",IF(OR(Y149&lt;0,Z149&lt;0,Z149&gt;Y149),"Soru Sayısı Hatası",IF(AND(AD149&lt;&gt;"",AD149&lt;V149),"Ödev Tarihi Hatası",IF(COUNTIF($AL$5:AL149,AL149)&gt;1,"Mükerrer Form Kaydı","Aktarıma Hazır"))))))</x:f>
      </x:c>
      <x:c r="AN149" s="30"/>
      <x:c r="AO149" s="40"/>
      <x:c r="AP149" s="30"/>
    </x:row>
    <x:row r="150">
      <x:c r="A150" s="158"/>
      <x:c r="B150" s="44"/>
      <x:c r="C150" s="40"/>
      <x:c r="D150" s="30"/>
      <x:c r="E150" s="30"/>
      <x:c r="F150" s="30"/>
      <x:c r="G150" s="30"/>
      <x:c r="H150" s="30"/>
      <x:c r="I150" s="40"/>
      <x:c r="J150" s="30"/>
      <x:c r="K150" s="30"/>
      <x:c r="L150" s="30"/>
      <x:c r="M150" s="30"/>
      <x:c r="N150" s="30"/>
      <x:c r="O150" s="30"/>
      <x:c r="P150" s="30"/>
      <x:c r="R150" s="160" t="str">
        <x:f>IF(A150="","",A150)</x:f>
      </x:c>
      <x:c r="S150" s="126" t="str">
        <x:f>IF(B150="","",B150)</x:f>
      </x:c>
      <x:c r="T150" s="36" t="str">
        <x:f>IF(S150="","",IFERROR(INDEX('02_Öğrenciler'!$B$5:$B$203,MATCH(S150,'02_Öğrenciler'!$A$5:$A$203,0)),"KOD HATALI"))</x:f>
      </x:c>
      <x:c r="U150" s="36" t="str">
        <x:f>IF(S150="","",IFERROR(INDEX('02_Öğrenciler'!$C$5:$C$203,MATCH(S150,'02_Öğrenciler'!$A$5:$A$203,0)),""))</x:f>
      </x:c>
      <x:c r="V150" s="132" t="str">
        <x:f>IF(C150="","",C150)</x:f>
      </x:c>
      <x:c r="W150" s="36" t="str">
        <x:f>IF(D150="","",D150)</x:f>
      </x:c>
      <x:c r="X150" s="36" t="str">
        <x:f>IF(E150="","",E150)</x:f>
      </x:c>
      <x:c r="Y150" s="36" t="str">
        <x:f>IF(F150="","",F150)</x:f>
      </x:c>
      <x:c r="Z150" s="36" t="str">
        <x:f>IF(G150="","",G150)</x:f>
      </x:c>
      <x:c r="AA150" s="36" t="str">
        <x:f>IF(OR(Y150="",Z150=""),"",Y150-Z150)</x:f>
      </x:c>
      <x:c r="AB150" s="52" t="str">
        <x:f>IF(OR(Y150="",Z150=""),"",IFERROR(Z150/Y150,0))</x:f>
      </x:c>
      <x:c r="AC150" s="36" t="str">
        <x:f>IF(H150="","",H150)</x:f>
      </x:c>
      <x:c r="AD150" s="132" t="str">
        <x:f>IF(I150="","",I150)</x:f>
      </x:c>
      <x:c r="AE150" s="36" t="str">
        <x:f>IF(J150="","",J150)</x:f>
      </x:c>
      <x:c r="AF150" s="36" t="str">
        <x:f>IF(K150="","",K150)</x:f>
      </x:c>
      <x:c r="AG150" s="36" t="str">
        <x:f>IF(L150="","",L150)</x:f>
      </x:c>
      <x:c r="AH150" s="36" t="str">
        <x:f>IF(M150="","",M150)</x:f>
      </x:c>
      <x:c r="AI150" s="36" t="str">
        <x:f>IF(N150="","",N150)</x:f>
      </x:c>
      <x:c r="AJ150" s="36" t="str">
        <x:f>IF(O150="","",O150)</x:f>
      </x:c>
      <x:c r="AK150" s="36" t="str">
        <x:f>IF(P150="","",P150)</x:f>
      </x:c>
      <x:c r="AL150" s="36" t="str">
        <x:f>IF(R150="","",TEXT(R150,"yyyymmddhhmmss")&amp;"-"&amp;S150&amp;"-"&amp;TEXT(ROW()-4,"0000"))</x:f>
      </x:c>
      <x:c r="AM150" s="36" t="str">
        <x:f>IF(R150="","",IF(T150="KOD HATALI","Öğrenci Kodu Hatalı",IF(OR(V150="",W150="",X150="",Y150="",Z150="",AF150="",AG150="",AJ150="",AK150=""),"Eksik Zorunlu Alan",IF(OR(Y150&lt;0,Z150&lt;0,Z150&gt;Y150),"Soru Sayısı Hatası",IF(AND(AD150&lt;&gt;"",AD150&lt;V150),"Ödev Tarihi Hatası",IF(COUNTIF($AL$5:AL150,AL150)&gt;1,"Mükerrer Form Kaydı","Aktarıma Hazır"))))))</x:f>
      </x:c>
      <x:c r="AN150" s="30"/>
      <x:c r="AO150" s="40"/>
      <x:c r="AP150" s="30"/>
    </x:row>
    <x:row r="151">
      <x:c r="A151" s="158"/>
      <x:c r="B151" s="44"/>
      <x:c r="C151" s="40"/>
      <x:c r="D151" s="30"/>
      <x:c r="E151" s="30"/>
      <x:c r="F151" s="30"/>
      <x:c r="G151" s="30"/>
      <x:c r="H151" s="30"/>
      <x:c r="I151" s="40"/>
      <x:c r="J151" s="30"/>
      <x:c r="K151" s="30"/>
      <x:c r="L151" s="30"/>
      <x:c r="M151" s="30"/>
      <x:c r="N151" s="30"/>
      <x:c r="O151" s="30"/>
      <x:c r="P151" s="30"/>
      <x:c r="R151" s="160" t="str">
        <x:f>IF(A151="","",A151)</x:f>
      </x:c>
      <x:c r="S151" s="126" t="str">
        <x:f>IF(B151="","",B151)</x:f>
      </x:c>
      <x:c r="T151" s="36" t="str">
        <x:f>IF(S151="","",IFERROR(INDEX('02_Öğrenciler'!$B$5:$B$203,MATCH(S151,'02_Öğrenciler'!$A$5:$A$203,0)),"KOD HATALI"))</x:f>
      </x:c>
      <x:c r="U151" s="36" t="str">
        <x:f>IF(S151="","",IFERROR(INDEX('02_Öğrenciler'!$C$5:$C$203,MATCH(S151,'02_Öğrenciler'!$A$5:$A$203,0)),""))</x:f>
      </x:c>
      <x:c r="V151" s="132" t="str">
        <x:f>IF(C151="","",C151)</x:f>
      </x:c>
      <x:c r="W151" s="36" t="str">
        <x:f>IF(D151="","",D151)</x:f>
      </x:c>
      <x:c r="X151" s="36" t="str">
        <x:f>IF(E151="","",E151)</x:f>
      </x:c>
      <x:c r="Y151" s="36" t="str">
        <x:f>IF(F151="","",F151)</x:f>
      </x:c>
      <x:c r="Z151" s="36" t="str">
        <x:f>IF(G151="","",G151)</x:f>
      </x:c>
      <x:c r="AA151" s="36" t="str">
        <x:f>IF(OR(Y151="",Z151=""),"",Y151-Z151)</x:f>
      </x:c>
      <x:c r="AB151" s="52" t="str">
        <x:f>IF(OR(Y151="",Z151=""),"",IFERROR(Z151/Y151,0))</x:f>
      </x:c>
      <x:c r="AC151" s="36" t="str">
        <x:f>IF(H151="","",H151)</x:f>
      </x:c>
      <x:c r="AD151" s="132" t="str">
        <x:f>IF(I151="","",I151)</x:f>
      </x:c>
      <x:c r="AE151" s="36" t="str">
        <x:f>IF(J151="","",J151)</x:f>
      </x:c>
      <x:c r="AF151" s="36" t="str">
        <x:f>IF(K151="","",K151)</x:f>
      </x:c>
      <x:c r="AG151" s="36" t="str">
        <x:f>IF(L151="","",L151)</x:f>
      </x:c>
      <x:c r="AH151" s="36" t="str">
        <x:f>IF(M151="","",M151)</x:f>
      </x:c>
      <x:c r="AI151" s="36" t="str">
        <x:f>IF(N151="","",N151)</x:f>
      </x:c>
      <x:c r="AJ151" s="36" t="str">
        <x:f>IF(O151="","",O151)</x:f>
      </x:c>
      <x:c r="AK151" s="36" t="str">
        <x:f>IF(P151="","",P151)</x:f>
      </x:c>
      <x:c r="AL151" s="36" t="str">
        <x:f>IF(R151="","",TEXT(R151,"yyyymmddhhmmss")&amp;"-"&amp;S151&amp;"-"&amp;TEXT(ROW()-4,"0000"))</x:f>
      </x:c>
      <x:c r="AM151" s="36" t="str">
        <x:f>IF(R151="","",IF(T151="KOD HATALI","Öğrenci Kodu Hatalı",IF(OR(V151="",W151="",X151="",Y151="",Z151="",AF151="",AG151="",AJ151="",AK151=""),"Eksik Zorunlu Alan",IF(OR(Y151&lt;0,Z151&lt;0,Z151&gt;Y151),"Soru Sayısı Hatası",IF(AND(AD151&lt;&gt;"",AD151&lt;V151),"Ödev Tarihi Hatası",IF(COUNTIF($AL$5:AL151,AL151)&gt;1,"Mükerrer Form Kaydı","Aktarıma Hazır"))))))</x:f>
      </x:c>
      <x:c r="AN151" s="30"/>
      <x:c r="AO151" s="40"/>
      <x:c r="AP151" s="30"/>
    </x:row>
    <x:row r="152">
      <x:c r="A152" s="158"/>
      <x:c r="B152" s="44"/>
      <x:c r="C152" s="40"/>
      <x:c r="D152" s="30"/>
      <x:c r="E152" s="30"/>
      <x:c r="F152" s="30"/>
      <x:c r="G152" s="30"/>
      <x:c r="H152" s="30"/>
      <x:c r="I152" s="40"/>
      <x:c r="J152" s="30"/>
      <x:c r="K152" s="30"/>
      <x:c r="L152" s="30"/>
      <x:c r="M152" s="30"/>
      <x:c r="N152" s="30"/>
      <x:c r="O152" s="30"/>
      <x:c r="P152" s="30"/>
      <x:c r="R152" s="160" t="str">
        <x:f>IF(A152="","",A152)</x:f>
      </x:c>
      <x:c r="S152" s="126" t="str">
        <x:f>IF(B152="","",B152)</x:f>
      </x:c>
      <x:c r="T152" s="36" t="str">
        <x:f>IF(S152="","",IFERROR(INDEX('02_Öğrenciler'!$B$5:$B$203,MATCH(S152,'02_Öğrenciler'!$A$5:$A$203,0)),"KOD HATALI"))</x:f>
      </x:c>
      <x:c r="U152" s="36" t="str">
        <x:f>IF(S152="","",IFERROR(INDEX('02_Öğrenciler'!$C$5:$C$203,MATCH(S152,'02_Öğrenciler'!$A$5:$A$203,0)),""))</x:f>
      </x:c>
      <x:c r="V152" s="132" t="str">
        <x:f>IF(C152="","",C152)</x:f>
      </x:c>
      <x:c r="W152" s="36" t="str">
        <x:f>IF(D152="","",D152)</x:f>
      </x:c>
      <x:c r="X152" s="36" t="str">
        <x:f>IF(E152="","",E152)</x:f>
      </x:c>
      <x:c r="Y152" s="36" t="str">
        <x:f>IF(F152="","",F152)</x:f>
      </x:c>
      <x:c r="Z152" s="36" t="str">
        <x:f>IF(G152="","",G152)</x:f>
      </x:c>
      <x:c r="AA152" s="36" t="str">
        <x:f>IF(OR(Y152="",Z152=""),"",Y152-Z152)</x:f>
      </x:c>
      <x:c r="AB152" s="52" t="str">
        <x:f>IF(OR(Y152="",Z152=""),"",IFERROR(Z152/Y152,0))</x:f>
      </x:c>
      <x:c r="AC152" s="36" t="str">
        <x:f>IF(H152="","",H152)</x:f>
      </x:c>
      <x:c r="AD152" s="132" t="str">
        <x:f>IF(I152="","",I152)</x:f>
      </x:c>
      <x:c r="AE152" s="36" t="str">
        <x:f>IF(J152="","",J152)</x:f>
      </x:c>
      <x:c r="AF152" s="36" t="str">
        <x:f>IF(K152="","",K152)</x:f>
      </x:c>
      <x:c r="AG152" s="36" t="str">
        <x:f>IF(L152="","",L152)</x:f>
      </x:c>
      <x:c r="AH152" s="36" t="str">
        <x:f>IF(M152="","",M152)</x:f>
      </x:c>
      <x:c r="AI152" s="36" t="str">
        <x:f>IF(N152="","",N152)</x:f>
      </x:c>
      <x:c r="AJ152" s="36" t="str">
        <x:f>IF(O152="","",O152)</x:f>
      </x:c>
      <x:c r="AK152" s="36" t="str">
        <x:f>IF(P152="","",P152)</x:f>
      </x:c>
      <x:c r="AL152" s="36" t="str">
        <x:f>IF(R152="","",TEXT(R152,"yyyymmddhhmmss")&amp;"-"&amp;S152&amp;"-"&amp;TEXT(ROW()-4,"0000"))</x:f>
      </x:c>
      <x:c r="AM152" s="36" t="str">
        <x:f>IF(R152="","",IF(T152="KOD HATALI","Öğrenci Kodu Hatalı",IF(OR(V152="",W152="",X152="",Y152="",Z152="",AF152="",AG152="",AJ152="",AK152=""),"Eksik Zorunlu Alan",IF(OR(Y152&lt;0,Z152&lt;0,Z152&gt;Y152),"Soru Sayısı Hatası",IF(AND(AD152&lt;&gt;"",AD152&lt;V152),"Ödev Tarihi Hatası",IF(COUNTIF($AL$5:AL152,AL152)&gt;1,"Mükerrer Form Kaydı","Aktarıma Hazır"))))))</x:f>
      </x:c>
      <x:c r="AN152" s="30"/>
      <x:c r="AO152" s="40"/>
      <x:c r="AP152" s="30"/>
    </x:row>
    <x:row r="153">
      <x:c r="A153" s="158"/>
      <x:c r="B153" s="44"/>
      <x:c r="C153" s="40"/>
      <x:c r="D153" s="30"/>
      <x:c r="E153" s="30"/>
      <x:c r="F153" s="30"/>
      <x:c r="G153" s="30"/>
      <x:c r="H153" s="30"/>
      <x:c r="I153" s="40"/>
      <x:c r="J153" s="30"/>
      <x:c r="K153" s="30"/>
      <x:c r="L153" s="30"/>
      <x:c r="M153" s="30"/>
      <x:c r="N153" s="30"/>
      <x:c r="O153" s="30"/>
      <x:c r="P153" s="30"/>
      <x:c r="R153" s="160" t="str">
        <x:f>IF(A153="","",A153)</x:f>
      </x:c>
      <x:c r="S153" s="126" t="str">
        <x:f>IF(B153="","",B153)</x:f>
      </x:c>
      <x:c r="T153" s="36" t="str">
        <x:f>IF(S153="","",IFERROR(INDEX('02_Öğrenciler'!$B$5:$B$203,MATCH(S153,'02_Öğrenciler'!$A$5:$A$203,0)),"KOD HATALI"))</x:f>
      </x:c>
      <x:c r="U153" s="36" t="str">
        <x:f>IF(S153="","",IFERROR(INDEX('02_Öğrenciler'!$C$5:$C$203,MATCH(S153,'02_Öğrenciler'!$A$5:$A$203,0)),""))</x:f>
      </x:c>
      <x:c r="V153" s="132" t="str">
        <x:f>IF(C153="","",C153)</x:f>
      </x:c>
      <x:c r="W153" s="36" t="str">
        <x:f>IF(D153="","",D153)</x:f>
      </x:c>
      <x:c r="X153" s="36" t="str">
        <x:f>IF(E153="","",E153)</x:f>
      </x:c>
      <x:c r="Y153" s="36" t="str">
        <x:f>IF(F153="","",F153)</x:f>
      </x:c>
      <x:c r="Z153" s="36" t="str">
        <x:f>IF(G153="","",G153)</x:f>
      </x:c>
      <x:c r="AA153" s="36" t="str">
        <x:f>IF(OR(Y153="",Z153=""),"",Y153-Z153)</x:f>
      </x:c>
      <x:c r="AB153" s="52" t="str">
        <x:f>IF(OR(Y153="",Z153=""),"",IFERROR(Z153/Y153,0))</x:f>
      </x:c>
      <x:c r="AC153" s="36" t="str">
        <x:f>IF(H153="","",H153)</x:f>
      </x:c>
      <x:c r="AD153" s="132" t="str">
        <x:f>IF(I153="","",I153)</x:f>
      </x:c>
      <x:c r="AE153" s="36" t="str">
        <x:f>IF(J153="","",J153)</x:f>
      </x:c>
      <x:c r="AF153" s="36" t="str">
        <x:f>IF(K153="","",K153)</x:f>
      </x:c>
      <x:c r="AG153" s="36" t="str">
        <x:f>IF(L153="","",L153)</x:f>
      </x:c>
      <x:c r="AH153" s="36" t="str">
        <x:f>IF(M153="","",M153)</x:f>
      </x:c>
      <x:c r="AI153" s="36" t="str">
        <x:f>IF(N153="","",N153)</x:f>
      </x:c>
      <x:c r="AJ153" s="36" t="str">
        <x:f>IF(O153="","",O153)</x:f>
      </x:c>
      <x:c r="AK153" s="36" t="str">
        <x:f>IF(P153="","",P153)</x:f>
      </x:c>
      <x:c r="AL153" s="36" t="str">
        <x:f>IF(R153="","",TEXT(R153,"yyyymmddhhmmss")&amp;"-"&amp;S153&amp;"-"&amp;TEXT(ROW()-4,"0000"))</x:f>
      </x:c>
      <x:c r="AM153" s="36" t="str">
        <x:f>IF(R153="","",IF(T153="KOD HATALI","Öğrenci Kodu Hatalı",IF(OR(V153="",W153="",X153="",Y153="",Z153="",AF153="",AG153="",AJ153="",AK153=""),"Eksik Zorunlu Alan",IF(OR(Y153&lt;0,Z153&lt;0,Z153&gt;Y153),"Soru Sayısı Hatası",IF(AND(AD153&lt;&gt;"",AD153&lt;V153),"Ödev Tarihi Hatası",IF(COUNTIF($AL$5:AL153,AL153)&gt;1,"Mükerrer Form Kaydı","Aktarıma Hazır"))))))</x:f>
      </x:c>
      <x:c r="AN153" s="30"/>
      <x:c r="AO153" s="40"/>
      <x:c r="AP153" s="30"/>
    </x:row>
    <x:row r="154">
      <x:c r="A154" s="158"/>
      <x:c r="B154" s="44"/>
      <x:c r="C154" s="40"/>
      <x:c r="D154" s="30"/>
      <x:c r="E154" s="30"/>
      <x:c r="F154" s="30"/>
      <x:c r="G154" s="30"/>
      <x:c r="H154" s="30"/>
      <x:c r="I154" s="40"/>
      <x:c r="J154" s="30"/>
      <x:c r="K154" s="30"/>
      <x:c r="L154" s="30"/>
      <x:c r="M154" s="30"/>
      <x:c r="N154" s="30"/>
      <x:c r="O154" s="30"/>
      <x:c r="P154" s="30"/>
      <x:c r="R154" s="160" t="str">
        <x:f>IF(A154="","",A154)</x:f>
      </x:c>
      <x:c r="S154" s="126" t="str">
        <x:f>IF(B154="","",B154)</x:f>
      </x:c>
      <x:c r="T154" s="36" t="str">
        <x:f>IF(S154="","",IFERROR(INDEX('02_Öğrenciler'!$B$5:$B$203,MATCH(S154,'02_Öğrenciler'!$A$5:$A$203,0)),"KOD HATALI"))</x:f>
      </x:c>
      <x:c r="U154" s="36" t="str">
        <x:f>IF(S154="","",IFERROR(INDEX('02_Öğrenciler'!$C$5:$C$203,MATCH(S154,'02_Öğrenciler'!$A$5:$A$203,0)),""))</x:f>
      </x:c>
      <x:c r="V154" s="132" t="str">
        <x:f>IF(C154="","",C154)</x:f>
      </x:c>
      <x:c r="W154" s="36" t="str">
        <x:f>IF(D154="","",D154)</x:f>
      </x:c>
      <x:c r="X154" s="36" t="str">
        <x:f>IF(E154="","",E154)</x:f>
      </x:c>
      <x:c r="Y154" s="36" t="str">
        <x:f>IF(F154="","",F154)</x:f>
      </x:c>
      <x:c r="Z154" s="36" t="str">
        <x:f>IF(G154="","",G154)</x:f>
      </x:c>
      <x:c r="AA154" s="36" t="str">
        <x:f>IF(OR(Y154="",Z154=""),"",Y154-Z154)</x:f>
      </x:c>
      <x:c r="AB154" s="52" t="str">
        <x:f>IF(OR(Y154="",Z154=""),"",IFERROR(Z154/Y154,0))</x:f>
      </x:c>
      <x:c r="AC154" s="36" t="str">
        <x:f>IF(H154="","",H154)</x:f>
      </x:c>
      <x:c r="AD154" s="132" t="str">
        <x:f>IF(I154="","",I154)</x:f>
      </x:c>
      <x:c r="AE154" s="36" t="str">
        <x:f>IF(J154="","",J154)</x:f>
      </x:c>
      <x:c r="AF154" s="36" t="str">
        <x:f>IF(K154="","",K154)</x:f>
      </x:c>
      <x:c r="AG154" s="36" t="str">
        <x:f>IF(L154="","",L154)</x:f>
      </x:c>
      <x:c r="AH154" s="36" t="str">
        <x:f>IF(M154="","",M154)</x:f>
      </x:c>
      <x:c r="AI154" s="36" t="str">
        <x:f>IF(N154="","",N154)</x:f>
      </x:c>
      <x:c r="AJ154" s="36" t="str">
        <x:f>IF(O154="","",O154)</x:f>
      </x:c>
      <x:c r="AK154" s="36" t="str">
        <x:f>IF(P154="","",P154)</x:f>
      </x:c>
      <x:c r="AL154" s="36" t="str">
        <x:f>IF(R154="","",TEXT(R154,"yyyymmddhhmmss")&amp;"-"&amp;S154&amp;"-"&amp;TEXT(ROW()-4,"0000"))</x:f>
      </x:c>
      <x:c r="AM154" s="36" t="str">
        <x:f>IF(R154="","",IF(T154="KOD HATALI","Öğrenci Kodu Hatalı",IF(OR(V154="",W154="",X154="",Y154="",Z154="",AF154="",AG154="",AJ154="",AK154=""),"Eksik Zorunlu Alan",IF(OR(Y154&lt;0,Z154&lt;0,Z154&gt;Y154),"Soru Sayısı Hatası",IF(AND(AD154&lt;&gt;"",AD154&lt;V154),"Ödev Tarihi Hatası",IF(COUNTIF($AL$5:AL154,AL154)&gt;1,"Mükerrer Form Kaydı","Aktarıma Hazır"))))))</x:f>
      </x:c>
      <x:c r="AN154" s="30"/>
      <x:c r="AO154" s="40"/>
      <x:c r="AP154" s="30"/>
    </x:row>
    <x:row r="155">
      <x:c r="A155" s="158"/>
      <x:c r="B155" s="44"/>
      <x:c r="C155" s="40"/>
      <x:c r="D155" s="30"/>
      <x:c r="E155" s="30"/>
      <x:c r="F155" s="30"/>
      <x:c r="G155" s="30"/>
      <x:c r="H155" s="30"/>
      <x:c r="I155" s="40"/>
      <x:c r="J155" s="30"/>
      <x:c r="K155" s="30"/>
      <x:c r="L155" s="30"/>
      <x:c r="M155" s="30"/>
      <x:c r="N155" s="30"/>
      <x:c r="O155" s="30"/>
      <x:c r="P155" s="30"/>
      <x:c r="R155" s="160" t="str">
        <x:f>IF(A155="","",A155)</x:f>
      </x:c>
      <x:c r="S155" s="126" t="str">
        <x:f>IF(B155="","",B155)</x:f>
      </x:c>
      <x:c r="T155" s="36" t="str">
        <x:f>IF(S155="","",IFERROR(INDEX('02_Öğrenciler'!$B$5:$B$203,MATCH(S155,'02_Öğrenciler'!$A$5:$A$203,0)),"KOD HATALI"))</x:f>
      </x:c>
      <x:c r="U155" s="36" t="str">
        <x:f>IF(S155="","",IFERROR(INDEX('02_Öğrenciler'!$C$5:$C$203,MATCH(S155,'02_Öğrenciler'!$A$5:$A$203,0)),""))</x:f>
      </x:c>
      <x:c r="V155" s="132" t="str">
        <x:f>IF(C155="","",C155)</x:f>
      </x:c>
      <x:c r="W155" s="36" t="str">
        <x:f>IF(D155="","",D155)</x:f>
      </x:c>
      <x:c r="X155" s="36" t="str">
        <x:f>IF(E155="","",E155)</x:f>
      </x:c>
      <x:c r="Y155" s="36" t="str">
        <x:f>IF(F155="","",F155)</x:f>
      </x:c>
      <x:c r="Z155" s="36" t="str">
        <x:f>IF(G155="","",G155)</x:f>
      </x:c>
      <x:c r="AA155" s="36" t="str">
        <x:f>IF(OR(Y155="",Z155=""),"",Y155-Z155)</x:f>
      </x:c>
      <x:c r="AB155" s="52" t="str">
        <x:f>IF(OR(Y155="",Z155=""),"",IFERROR(Z155/Y155,0))</x:f>
      </x:c>
      <x:c r="AC155" s="36" t="str">
        <x:f>IF(H155="","",H155)</x:f>
      </x:c>
      <x:c r="AD155" s="132" t="str">
        <x:f>IF(I155="","",I155)</x:f>
      </x:c>
      <x:c r="AE155" s="36" t="str">
        <x:f>IF(J155="","",J155)</x:f>
      </x:c>
      <x:c r="AF155" s="36" t="str">
        <x:f>IF(K155="","",K155)</x:f>
      </x:c>
      <x:c r="AG155" s="36" t="str">
        <x:f>IF(L155="","",L155)</x:f>
      </x:c>
      <x:c r="AH155" s="36" t="str">
        <x:f>IF(M155="","",M155)</x:f>
      </x:c>
      <x:c r="AI155" s="36" t="str">
        <x:f>IF(N155="","",N155)</x:f>
      </x:c>
      <x:c r="AJ155" s="36" t="str">
        <x:f>IF(O155="","",O155)</x:f>
      </x:c>
      <x:c r="AK155" s="36" t="str">
        <x:f>IF(P155="","",P155)</x:f>
      </x:c>
      <x:c r="AL155" s="36" t="str">
        <x:f>IF(R155="","",TEXT(R155,"yyyymmddhhmmss")&amp;"-"&amp;S155&amp;"-"&amp;TEXT(ROW()-4,"0000"))</x:f>
      </x:c>
      <x:c r="AM155" s="36" t="str">
        <x:f>IF(R155="","",IF(T155="KOD HATALI","Öğrenci Kodu Hatalı",IF(OR(V155="",W155="",X155="",Y155="",Z155="",AF155="",AG155="",AJ155="",AK155=""),"Eksik Zorunlu Alan",IF(OR(Y155&lt;0,Z155&lt;0,Z155&gt;Y155),"Soru Sayısı Hatası",IF(AND(AD155&lt;&gt;"",AD155&lt;V155),"Ödev Tarihi Hatası",IF(COUNTIF($AL$5:AL155,AL155)&gt;1,"Mükerrer Form Kaydı","Aktarıma Hazır"))))))</x:f>
      </x:c>
      <x:c r="AN155" s="30"/>
      <x:c r="AO155" s="40"/>
      <x:c r="AP155" s="30"/>
    </x:row>
    <x:row r="156">
      <x:c r="A156" s="158"/>
      <x:c r="B156" s="44"/>
      <x:c r="C156" s="40"/>
      <x:c r="D156" s="30"/>
      <x:c r="E156" s="30"/>
      <x:c r="F156" s="30"/>
      <x:c r="G156" s="30"/>
      <x:c r="H156" s="30"/>
      <x:c r="I156" s="40"/>
      <x:c r="J156" s="30"/>
      <x:c r="K156" s="30"/>
      <x:c r="L156" s="30"/>
      <x:c r="M156" s="30"/>
      <x:c r="N156" s="30"/>
      <x:c r="O156" s="30"/>
      <x:c r="P156" s="30"/>
      <x:c r="R156" s="160" t="str">
        <x:f>IF(A156="","",A156)</x:f>
      </x:c>
      <x:c r="S156" s="126" t="str">
        <x:f>IF(B156="","",B156)</x:f>
      </x:c>
      <x:c r="T156" s="36" t="str">
        <x:f>IF(S156="","",IFERROR(INDEX('02_Öğrenciler'!$B$5:$B$203,MATCH(S156,'02_Öğrenciler'!$A$5:$A$203,0)),"KOD HATALI"))</x:f>
      </x:c>
      <x:c r="U156" s="36" t="str">
        <x:f>IF(S156="","",IFERROR(INDEX('02_Öğrenciler'!$C$5:$C$203,MATCH(S156,'02_Öğrenciler'!$A$5:$A$203,0)),""))</x:f>
      </x:c>
      <x:c r="V156" s="132" t="str">
        <x:f>IF(C156="","",C156)</x:f>
      </x:c>
      <x:c r="W156" s="36" t="str">
        <x:f>IF(D156="","",D156)</x:f>
      </x:c>
      <x:c r="X156" s="36" t="str">
        <x:f>IF(E156="","",E156)</x:f>
      </x:c>
      <x:c r="Y156" s="36" t="str">
        <x:f>IF(F156="","",F156)</x:f>
      </x:c>
      <x:c r="Z156" s="36" t="str">
        <x:f>IF(G156="","",G156)</x:f>
      </x:c>
      <x:c r="AA156" s="36" t="str">
        <x:f>IF(OR(Y156="",Z156=""),"",Y156-Z156)</x:f>
      </x:c>
      <x:c r="AB156" s="52" t="str">
        <x:f>IF(OR(Y156="",Z156=""),"",IFERROR(Z156/Y156,0))</x:f>
      </x:c>
      <x:c r="AC156" s="36" t="str">
        <x:f>IF(H156="","",H156)</x:f>
      </x:c>
      <x:c r="AD156" s="132" t="str">
        <x:f>IF(I156="","",I156)</x:f>
      </x:c>
      <x:c r="AE156" s="36" t="str">
        <x:f>IF(J156="","",J156)</x:f>
      </x:c>
      <x:c r="AF156" s="36" t="str">
        <x:f>IF(K156="","",K156)</x:f>
      </x:c>
      <x:c r="AG156" s="36" t="str">
        <x:f>IF(L156="","",L156)</x:f>
      </x:c>
      <x:c r="AH156" s="36" t="str">
        <x:f>IF(M156="","",M156)</x:f>
      </x:c>
      <x:c r="AI156" s="36" t="str">
        <x:f>IF(N156="","",N156)</x:f>
      </x:c>
      <x:c r="AJ156" s="36" t="str">
        <x:f>IF(O156="","",O156)</x:f>
      </x:c>
      <x:c r="AK156" s="36" t="str">
        <x:f>IF(P156="","",P156)</x:f>
      </x:c>
      <x:c r="AL156" s="36" t="str">
        <x:f>IF(R156="","",TEXT(R156,"yyyymmddhhmmss")&amp;"-"&amp;S156&amp;"-"&amp;TEXT(ROW()-4,"0000"))</x:f>
      </x:c>
      <x:c r="AM156" s="36" t="str">
        <x:f>IF(R156="","",IF(T156="KOD HATALI","Öğrenci Kodu Hatalı",IF(OR(V156="",W156="",X156="",Y156="",Z156="",AF156="",AG156="",AJ156="",AK156=""),"Eksik Zorunlu Alan",IF(OR(Y156&lt;0,Z156&lt;0,Z156&gt;Y156),"Soru Sayısı Hatası",IF(AND(AD156&lt;&gt;"",AD156&lt;V156),"Ödev Tarihi Hatası",IF(COUNTIF($AL$5:AL156,AL156)&gt;1,"Mükerrer Form Kaydı","Aktarıma Hazır"))))))</x:f>
      </x:c>
      <x:c r="AN156" s="30"/>
      <x:c r="AO156" s="40"/>
      <x:c r="AP156" s="30"/>
    </x:row>
    <x:row r="157">
      <x:c r="A157" s="158"/>
      <x:c r="B157" s="44"/>
      <x:c r="C157" s="40"/>
      <x:c r="D157" s="30"/>
      <x:c r="E157" s="30"/>
      <x:c r="F157" s="30"/>
      <x:c r="G157" s="30"/>
      <x:c r="H157" s="30"/>
      <x:c r="I157" s="40"/>
      <x:c r="J157" s="30"/>
      <x:c r="K157" s="30"/>
      <x:c r="L157" s="30"/>
      <x:c r="M157" s="30"/>
      <x:c r="N157" s="30"/>
      <x:c r="O157" s="30"/>
      <x:c r="P157" s="30"/>
      <x:c r="R157" s="160" t="str">
        <x:f>IF(A157="","",A157)</x:f>
      </x:c>
      <x:c r="S157" s="126" t="str">
        <x:f>IF(B157="","",B157)</x:f>
      </x:c>
      <x:c r="T157" s="36" t="str">
        <x:f>IF(S157="","",IFERROR(INDEX('02_Öğrenciler'!$B$5:$B$203,MATCH(S157,'02_Öğrenciler'!$A$5:$A$203,0)),"KOD HATALI"))</x:f>
      </x:c>
      <x:c r="U157" s="36" t="str">
        <x:f>IF(S157="","",IFERROR(INDEX('02_Öğrenciler'!$C$5:$C$203,MATCH(S157,'02_Öğrenciler'!$A$5:$A$203,0)),""))</x:f>
      </x:c>
      <x:c r="V157" s="132" t="str">
        <x:f>IF(C157="","",C157)</x:f>
      </x:c>
      <x:c r="W157" s="36" t="str">
        <x:f>IF(D157="","",D157)</x:f>
      </x:c>
      <x:c r="X157" s="36" t="str">
        <x:f>IF(E157="","",E157)</x:f>
      </x:c>
      <x:c r="Y157" s="36" t="str">
        <x:f>IF(F157="","",F157)</x:f>
      </x:c>
      <x:c r="Z157" s="36" t="str">
        <x:f>IF(G157="","",G157)</x:f>
      </x:c>
      <x:c r="AA157" s="36" t="str">
        <x:f>IF(OR(Y157="",Z157=""),"",Y157-Z157)</x:f>
      </x:c>
      <x:c r="AB157" s="52" t="str">
        <x:f>IF(OR(Y157="",Z157=""),"",IFERROR(Z157/Y157,0))</x:f>
      </x:c>
      <x:c r="AC157" s="36" t="str">
        <x:f>IF(H157="","",H157)</x:f>
      </x:c>
      <x:c r="AD157" s="132" t="str">
        <x:f>IF(I157="","",I157)</x:f>
      </x:c>
      <x:c r="AE157" s="36" t="str">
        <x:f>IF(J157="","",J157)</x:f>
      </x:c>
      <x:c r="AF157" s="36" t="str">
        <x:f>IF(K157="","",K157)</x:f>
      </x:c>
      <x:c r="AG157" s="36" t="str">
        <x:f>IF(L157="","",L157)</x:f>
      </x:c>
      <x:c r="AH157" s="36" t="str">
        <x:f>IF(M157="","",M157)</x:f>
      </x:c>
      <x:c r="AI157" s="36" t="str">
        <x:f>IF(N157="","",N157)</x:f>
      </x:c>
      <x:c r="AJ157" s="36" t="str">
        <x:f>IF(O157="","",O157)</x:f>
      </x:c>
      <x:c r="AK157" s="36" t="str">
        <x:f>IF(P157="","",P157)</x:f>
      </x:c>
      <x:c r="AL157" s="36" t="str">
        <x:f>IF(R157="","",TEXT(R157,"yyyymmddhhmmss")&amp;"-"&amp;S157&amp;"-"&amp;TEXT(ROW()-4,"0000"))</x:f>
      </x:c>
      <x:c r="AM157" s="36" t="str">
        <x:f>IF(R157="","",IF(T157="KOD HATALI","Öğrenci Kodu Hatalı",IF(OR(V157="",W157="",X157="",Y157="",Z157="",AF157="",AG157="",AJ157="",AK157=""),"Eksik Zorunlu Alan",IF(OR(Y157&lt;0,Z157&lt;0,Z157&gt;Y157),"Soru Sayısı Hatası",IF(AND(AD157&lt;&gt;"",AD157&lt;V157),"Ödev Tarihi Hatası",IF(COUNTIF($AL$5:AL157,AL157)&gt;1,"Mükerrer Form Kaydı","Aktarıma Hazır"))))))</x:f>
      </x:c>
      <x:c r="AN157" s="30"/>
      <x:c r="AO157" s="40"/>
      <x:c r="AP157" s="30"/>
    </x:row>
    <x:row r="158">
      <x:c r="A158" s="158"/>
      <x:c r="B158" s="44"/>
      <x:c r="C158" s="40"/>
      <x:c r="D158" s="30"/>
      <x:c r="E158" s="30"/>
      <x:c r="F158" s="30"/>
      <x:c r="G158" s="30"/>
      <x:c r="H158" s="30"/>
      <x:c r="I158" s="40"/>
      <x:c r="J158" s="30"/>
      <x:c r="K158" s="30"/>
      <x:c r="L158" s="30"/>
      <x:c r="M158" s="30"/>
      <x:c r="N158" s="30"/>
      <x:c r="O158" s="30"/>
      <x:c r="P158" s="30"/>
      <x:c r="R158" s="160" t="str">
        <x:f>IF(A158="","",A158)</x:f>
      </x:c>
      <x:c r="S158" s="126" t="str">
        <x:f>IF(B158="","",B158)</x:f>
      </x:c>
      <x:c r="T158" s="36" t="str">
        <x:f>IF(S158="","",IFERROR(INDEX('02_Öğrenciler'!$B$5:$B$203,MATCH(S158,'02_Öğrenciler'!$A$5:$A$203,0)),"KOD HATALI"))</x:f>
      </x:c>
      <x:c r="U158" s="36" t="str">
        <x:f>IF(S158="","",IFERROR(INDEX('02_Öğrenciler'!$C$5:$C$203,MATCH(S158,'02_Öğrenciler'!$A$5:$A$203,0)),""))</x:f>
      </x:c>
      <x:c r="V158" s="132" t="str">
        <x:f>IF(C158="","",C158)</x:f>
      </x:c>
      <x:c r="W158" s="36" t="str">
        <x:f>IF(D158="","",D158)</x:f>
      </x:c>
      <x:c r="X158" s="36" t="str">
        <x:f>IF(E158="","",E158)</x:f>
      </x:c>
      <x:c r="Y158" s="36" t="str">
        <x:f>IF(F158="","",F158)</x:f>
      </x:c>
      <x:c r="Z158" s="36" t="str">
        <x:f>IF(G158="","",G158)</x:f>
      </x:c>
      <x:c r="AA158" s="36" t="str">
        <x:f>IF(OR(Y158="",Z158=""),"",Y158-Z158)</x:f>
      </x:c>
      <x:c r="AB158" s="52" t="str">
        <x:f>IF(OR(Y158="",Z158=""),"",IFERROR(Z158/Y158,0))</x:f>
      </x:c>
      <x:c r="AC158" s="36" t="str">
        <x:f>IF(H158="","",H158)</x:f>
      </x:c>
      <x:c r="AD158" s="132" t="str">
        <x:f>IF(I158="","",I158)</x:f>
      </x:c>
      <x:c r="AE158" s="36" t="str">
        <x:f>IF(J158="","",J158)</x:f>
      </x:c>
      <x:c r="AF158" s="36" t="str">
        <x:f>IF(K158="","",K158)</x:f>
      </x:c>
      <x:c r="AG158" s="36" t="str">
        <x:f>IF(L158="","",L158)</x:f>
      </x:c>
      <x:c r="AH158" s="36" t="str">
        <x:f>IF(M158="","",M158)</x:f>
      </x:c>
      <x:c r="AI158" s="36" t="str">
        <x:f>IF(N158="","",N158)</x:f>
      </x:c>
      <x:c r="AJ158" s="36" t="str">
        <x:f>IF(O158="","",O158)</x:f>
      </x:c>
      <x:c r="AK158" s="36" t="str">
        <x:f>IF(P158="","",P158)</x:f>
      </x:c>
      <x:c r="AL158" s="36" t="str">
        <x:f>IF(R158="","",TEXT(R158,"yyyymmddhhmmss")&amp;"-"&amp;S158&amp;"-"&amp;TEXT(ROW()-4,"0000"))</x:f>
      </x:c>
      <x:c r="AM158" s="36" t="str">
        <x:f>IF(R158="","",IF(T158="KOD HATALI","Öğrenci Kodu Hatalı",IF(OR(V158="",W158="",X158="",Y158="",Z158="",AF158="",AG158="",AJ158="",AK158=""),"Eksik Zorunlu Alan",IF(OR(Y158&lt;0,Z158&lt;0,Z158&gt;Y158),"Soru Sayısı Hatası",IF(AND(AD158&lt;&gt;"",AD158&lt;V158),"Ödev Tarihi Hatası",IF(COUNTIF($AL$5:AL158,AL158)&gt;1,"Mükerrer Form Kaydı","Aktarıma Hazır"))))))</x:f>
      </x:c>
      <x:c r="AN158" s="30"/>
      <x:c r="AO158" s="40"/>
      <x:c r="AP158" s="30"/>
    </x:row>
    <x:row r="159">
      <x:c r="A159" s="158"/>
      <x:c r="B159" s="44"/>
      <x:c r="C159" s="40"/>
      <x:c r="D159" s="30"/>
      <x:c r="E159" s="30"/>
      <x:c r="F159" s="30"/>
      <x:c r="G159" s="30"/>
      <x:c r="H159" s="30"/>
      <x:c r="I159" s="40"/>
      <x:c r="J159" s="30"/>
      <x:c r="K159" s="30"/>
      <x:c r="L159" s="30"/>
      <x:c r="M159" s="30"/>
      <x:c r="N159" s="30"/>
      <x:c r="O159" s="30"/>
      <x:c r="P159" s="30"/>
      <x:c r="R159" s="160" t="str">
        <x:f>IF(A159="","",A159)</x:f>
      </x:c>
      <x:c r="S159" s="126" t="str">
        <x:f>IF(B159="","",B159)</x:f>
      </x:c>
      <x:c r="T159" s="36" t="str">
        <x:f>IF(S159="","",IFERROR(INDEX('02_Öğrenciler'!$B$5:$B$203,MATCH(S159,'02_Öğrenciler'!$A$5:$A$203,0)),"KOD HATALI"))</x:f>
      </x:c>
      <x:c r="U159" s="36" t="str">
        <x:f>IF(S159="","",IFERROR(INDEX('02_Öğrenciler'!$C$5:$C$203,MATCH(S159,'02_Öğrenciler'!$A$5:$A$203,0)),""))</x:f>
      </x:c>
      <x:c r="V159" s="132" t="str">
        <x:f>IF(C159="","",C159)</x:f>
      </x:c>
      <x:c r="W159" s="36" t="str">
        <x:f>IF(D159="","",D159)</x:f>
      </x:c>
      <x:c r="X159" s="36" t="str">
        <x:f>IF(E159="","",E159)</x:f>
      </x:c>
      <x:c r="Y159" s="36" t="str">
        <x:f>IF(F159="","",F159)</x:f>
      </x:c>
      <x:c r="Z159" s="36" t="str">
        <x:f>IF(G159="","",G159)</x:f>
      </x:c>
      <x:c r="AA159" s="36" t="str">
        <x:f>IF(OR(Y159="",Z159=""),"",Y159-Z159)</x:f>
      </x:c>
      <x:c r="AB159" s="52" t="str">
        <x:f>IF(OR(Y159="",Z159=""),"",IFERROR(Z159/Y159,0))</x:f>
      </x:c>
      <x:c r="AC159" s="36" t="str">
        <x:f>IF(H159="","",H159)</x:f>
      </x:c>
      <x:c r="AD159" s="132" t="str">
        <x:f>IF(I159="","",I159)</x:f>
      </x:c>
      <x:c r="AE159" s="36" t="str">
        <x:f>IF(J159="","",J159)</x:f>
      </x:c>
      <x:c r="AF159" s="36" t="str">
        <x:f>IF(K159="","",K159)</x:f>
      </x:c>
      <x:c r="AG159" s="36" t="str">
        <x:f>IF(L159="","",L159)</x:f>
      </x:c>
      <x:c r="AH159" s="36" t="str">
        <x:f>IF(M159="","",M159)</x:f>
      </x:c>
      <x:c r="AI159" s="36" t="str">
        <x:f>IF(N159="","",N159)</x:f>
      </x:c>
      <x:c r="AJ159" s="36" t="str">
        <x:f>IF(O159="","",O159)</x:f>
      </x:c>
      <x:c r="AK159" s="36" t="str">
        <x:f>IF(P159="","",P159)</x:f>
      </x:c>
      <x:c r="AL159" s="36" t="str">
        <x:f>IF(R159="","",TEXT(R159,"yyyymmddhhmmss")&amp;"-"&amp;S159&amp;"-"&amp;TEXT(ROW()-4,"0000"))</x:f>
      </x:c>
      <x:c r="AM159" s="36" t="str">
        <x:f>IF(R159="","",IF(T159="KOD HATALI","Öğrenci Kodu Hatalı",IF(OR(V159="",W159="",X159="",Y159="",Z159="",AF159="",AG159="",AJ159="",AK159=""),"Eksik Zorunlu Alan",IF(OR(Y159&lt;0,Z159&lt;0,Z159&gt;Y159),"Soru Sayısı Hatası",IF(AND(AD159&lt;&gt;"",AD159&lt;V159),"Ödev Tarihi Hatası",IF(COUNTIF($AL$5:AL159,AL159)&gt;1,"Mükerrer Form Kaydı","Aktarıma Hazır"))))))</x:f>
      </x:c>
      <x:c r="AN159" s="30"/>
      <x:c r="AO159" s="40"/>
      <x:c r="AP159" s="30"/>
    </x:row>
    <x:row r="160">
      <x:c r="A160" s="158"/>
      <x:c r="B160" s="44"/>
      <x:c r="C160" s="40"/>
      <x:c r="D160" s="30"/>
      <x:c r="E160" s="30"/>
      <x:c r="F160" s="30"/>
      <x:c r="G160" s="30"/>
      <x:c r="H160" s="30"/>
      <x:c r="I160" s="40"/>
      <x:c r="J160" s="30"/>
      <x:c r="K160" s="30"/>
      <x:c r="L160" s="30"/>
      <x:c r="M160" s="30"/>
      <x:c r="N160" s="30"/>
      <x:c r="O160" s="30"/>
      <x:c r="P160" s="30"/>
      <x:c r="R160" s="160" t="str">
        <x:f>IF(A160="","",A160)</x:f>
      </x:c>
      <x:c r="S160" s="126" t="str">
        <x:f>IF(B160="","",B160)</x:f>
      </x:c>
      <x:c r="T160" s="36" t="str">
        <x:f>IF(S160="","",IFERROR(INDEX('02_Öğrenciler'!$B$5:$B$203,MATCH(S160,'02_Öğrenciler'!$A$5:$A$203,0)),"KOD HATALI"))</x:f>
      </x:c>
      <x:c r="U160" s="36" t="str">
        <x:f>IF(S160="","",IFERROR(INDEX('02_Öğrenciler'!$C$5:$C$203,MATCH(S160,'02_Öğrenciler'!$A$5:$A$203,0)),""))</x:f>
      </x:c>
      <x:c r="V160" s="132" t="str">
        <x:f>IF(C160="","",C160)</x:f>
      </x:c>
      <x:c r="W160" s="36" t="str">
        <x:f>IF(D160="","",D160)</x:f>
      </x:c>
      <x:c r="X160" s="36" t="str">
        <x:f>IF(E160="","",E160)</x:f>
      </x:c>
      <x:c r="Y160" s="36" t="str">
        <x:f>IF(F160="","",F160)</x:f>
      </x:c>
      <x:c r="Z160" s="36" t="str">
        <x:f>IF(G160="","",G160)</x:f>
      </x:c>
      <x:c r="AA160" s="36" t="str">
        <x:f>IF(OR(Y160="",Z160=""),"",Y160-Z160)</x:f>
      </x:c>
      <x:c r="AB160" s="52" t="str">
        <x:f>IF(OR(Y160="",Z160=""),"",IFERROR(Z160/Y160,0))</x:f>
      </x:c>
      <x:c r="AC160" s="36" t="str">
        <x:f>IF(H160="","",H160)</x:f>
      </x:c>
      <x:c r="AD160" s="132" t="str">
        <x:f>IF(I160="","",I160)</x:f>
      </x:c>
      <x:c r="AE160" s="36" t="str">
        <x:f>IF(J160="","",J160)</x:f>
      </x:c>
      <x:c r="AF160" s="36" t="str">
        <x:f>IF(K160="","",K160)</x:f>
      </x:c>
      <x:c r="AG160" s="36" t="str">
        <x:f>IF(L160="","",L160)</x:f>
      </x:c>
      <x:c r="AH160" s="36" t="str">
        <x:f>IF(M160="","",M160)</x:f>
      </x:c>
      <x:c r="AI160" s="36" t="str">
        <x:f>IF(N160="","",N160)</x:f>
      </x:c>
      <x:c r="AJ160" s="36" t="str">
        <x:f>IF(O160="","",O160)</x:f>
      </x:c>
      <x:c r="AK160" s="36" t="str">
        <x:f>IF(P160="","",P160)</x:f>
      </x:c>
      <x:c r="AL160" s="36" t="str">
        <x:f>IF(R160="","",TEXT(R160,"yyyymmddhhmmss")&amp;"-"&amp;S160&amp;"-"&amp;TEXT(ROW()-4,"0000"))</x:f>
      </x:c>
      <x:c r="AM160" s="36" t="str">
        <x:f>IF(R160="","",IF(T160="KOD HATALI","Öğrenci Kodu Hatalı",IF(OR(V160="",W160="",X160="",Y160="",Z160="",AF160="",AG160="",AJ160="",AK160=""),"Eksik Zorunlu Alan",IF(OR(Y160&lt;0,Z160&lt;0,Z160&gt;Y160),"Soru Sayısı Hatası",IF(AND(AD160&lt;&gt;"",AD160&lt;V160),"Ödev Tarihi Hatası",IF(COUNTIF($AL$5:AL160,AL160)&gt;1,"Mükerrer Form Kaydı","Aktarıma Hazır"))))))</x:f>
      </x:c>
      <x:c r="AN160" s="30"/>
      <x:c r="AO160" s="40"/>
      <x:c r="AP160" s="30"/>
    </x:row>
    <x:row r="161">
      <x:c r="A161" s="158"/>
      <x:c r="B161" s="44"/>
      <x:c r="C161" s="40"/>
      <x:c r="D161" s="30"/>
      <x:c r="E161" s="30"/>
      <x:c r="F161" s="30"/>
      <x:c r="G161" s="30"/>
      <x:c r="H161" s="30"/>
      <x:c r="I161" s="40"/>
      <x:c r="J161" s="30"/>
      <x:c r="K161" s="30"/>
      <x:c r="L161" s="30"/>
      <x:c r="M161" s="30"/>
      <x:c r="N161" s="30"/>
      <x:c r="O161" s="30"/>
      <x:c r="P161" s="30"/>
      <x:c r="R161" s="160" t="str">
        <x:f>IF(A161="","",A161)</x:f>
      </x:c>
      <x:c r="S161" s="126" t="str">
        <x:f>IF(B161="","",B161)</x:f>
      </x:c>
      <x:c r="T161" s="36" t="str">
        <x:f>IF(S161="","",IFERROR(INDEX('02_Öğrenciler'!$B$5:$B$203,MATCH(S161,'02_Öğrenciler'!$A$5:$A$203,0)),"KOD HATALI"))</x:f>
      </x:c>
      <x:c r="U161" s="36" t="str">
        <x:f>IF(S161="","",IFERROR(INDEX('02_Öğrenciler'!$C$5:$C$203,MATCH(S161,'02_Öğrenciler'!$A$5:$A$203,0)),""))</x:f>
      </x:c>
      <x:c r="V161" s="132" t="str">
        <x:f>IF(C161="","",C161)</x:f>
      </x:c>
      <x:c r="W161" s="36" t="str">
        <x:f>IF(D161="","",D161)</x:f>
      </x:c>
      <x:c r="X161" s="36" t="str">
        <x:f>IF(E161="","",E161)</x:f>
      </x:c>
      <x:c r="Y161" s="36" t="str">
        <x:f>IF(F161="","",F161)</x:f>
      </x:c>
      <x:c r="Z161" s="36" t="str">
        <x:f>IF(G161="","",G161)</x:f>
      </x:c>
      <x:c r="AA161" s="36" t="str">
        <x:f>IF(OR(Y161="",Z161=""),"",Y161-Z161)</x:f>
      </x:c>
      <x:c r="AB161" s="52" t="str">
        <x:f>IF(OR(Y161="",Z161=""),"",IFERROR(Z161/Y161,0))</x:f>
      </x:c>
      <x:c r="AC161" s="36" t="str">
        <x:f>IF(H161="","",H161)</x:f>
      </x:c>
      <x:c r="AD161" s="132" t="str">
        <x:f>IF(I161="","",I161)</x:f>
      </x:c>
      <x:c r="AE161" s="36" t="str">
        <x:f>IF(J161="","",J161)</x:f>
      </x:c>
      <x:c r="AF161" s="36" t="str">
        <x:f>IF(K161="","",K161)</x:f>
      </x:c>
      <x:c r="AG161" s="36" t="str">
        <x:f>IF(L161="","",L161)</x:f>
      </x:c>
      <x:c r="AH161" s="36" t="str">
        <x:f>IF(M161="","",M161)</x:f>
      </x:c>
      <x:c r="AI161" s="36" t="str">
        <x:f>IF(N161="","",N161)</x:f>
      </x:c>
      <x:c r="AJ161" s="36" t="str">
        <x:f>IF(O161="","",O161)</x:f>
      </x:c>
      <x:c r="AK161" s="36" t="str">
        <x:f>IF(P161="","",P161)</x:f>
      </x:c>
      <x:c r="AL161" s="36" t="str">
        <x:f>IF(R161="","",TEXT(R161,"yyyymmddhhmmss")&amp;"-"&amp;S161&amp;"-"&amp;TEXT(ROW()-4,"0000"))</x:f>
      </x:c>
      <x:c r="AM161" s="36" t="str">
        <x:f>IF(R161="","",IF(T161="KOD HATALI","Öğrenci Kodu Hatalı",IF(OR(V161="",W161="",X161="",Y161="",Z161="",AF161="",AG161="",AJ161="",AK161=""),"Eksik Zorunlu Alan",IF(OR(Y161&lt;0,Z161&lt;0,Z161&gt;Y161),"Soru Sayısı Hatası",IF(AND(AD161&lt;&gt;"",AD161&lt;V161),"Ödev Tarihi Hatası",IF(COUNTIF($AL$5:AL161,AL161)&gt;1,"Mükerrer Form Kaydı","Aktarıma Hazır"))))))</x:f>
      </x:c>
      <x:c r="AN161" s="30"/>
      <x:c r="AO161" s="40"/>
      <x:c r="AP161" s="30"/>
    </x:row>
    <x:row r="162">
      <x:c r="A162" s="158"/>
      <x:c r="B162" s="44"/>
      <x:c r="C162" s="40"/>
      <x:c r="D162" s="30"/>
      <x:c r="E162" s="30"/>
      <x:c r="F162" s="30"/>
      <x:c r="G162" s="30"/>
      <x:c r="H162" s="30"/>
      <x:c r="I162" s="40"/>
      <x:c r="J162" s="30"/>
      <x:c r="K162" s="30"/>
      <x:c r="L162" s="30"/>
      <x:c r="M162" s="30"/>
      <x:c r="N162" s="30"/>
      <x:c r="O162" s="30"/>
      <x:c r="P162" s="30"/>
      <x:c r="R162" s="160" t="str">
        <x:f>IF(A162="","",A162)</x:f>
      </x:c>
      <x:c r="S162" s="126" t="str">
        <x:f>IF(B162="","",B162)</x:f>
      </x:c>
      <x:c r="T162" s="36" t="str">
        <x:f>IF(S162="","",IFERROR(INDEX('02_Öğrenciler'!$B$5:$B$203,MATCH(S162,'02_Öğrenciler'!$A$5:$A$203,0)),"KOD HATALI"))</x:f>
      </x:c>
      <x:c r="U162" s="36" t="str">
        <x:f>IF(S162="","",IFERROR(INDEX('02_Öğrenciler'!$C$5:$C$203,MATCH(S162,'02_Öğrenciler'!$A$5:$A$203,0)),""))</x:f>
      </x:c>
      <x:c r="V162" s="132" t="str">
        <x:f>IF(C162="","",C162)</x:f>
      </x:c>
      <x:c r="W162" s="36" t="str">
        <x:f>IF(D162="","",D162)</x:f>
      </x:c>
      <x:c r="X162" s="36" t="str">
        <x:f>IF(E162="","",E162)</x:f>
      </x:c>
      <x:c r="Y162" s="36" t="str">
        <x:f>IF(F162="","",F162)</x:f>
      </x:c>
      <x:c r="Z162" s="36" t="str">
        <x:f>IF(G162="","",G162)</x:f>
      </x:c>
      <x:c r="AA162" s="36" t="str">
        <x:f>IF(OR(Y162="",Z162=""),"",Y162-Z162)</x:f>
      </x:c>
      <x:c r="AB162" s="52" t="str">
        <x:f>IF(OR(Y162="",Z162=""),"",IFERROR(Z162/Y162,0))</x:f>
      </x:c>
      <x:c r="AC162" s="36" t="str">
        <x:f>IF(H162="","",H162)</x:f>
      </x:c>
      <x:c r="AD162" s="132" t="str">
        <x:f>IF(I162="","",I162)</x:f>
      </x:c>
      <x:c r="AE162" s="36" t="str">
        <x:f>IF(J162="","",J162)</x:f>
      </x:c>
      <x:c r="AF162" s="36" t="str">
        <x:f>IF(K162="","",K162)</x:f>
      </x:c>
      <x:c r="AG162" s="36" t="str">
        <x:f>IF(L162="","",L162)</x:f>
      </x:c>
      <x:c r="AH162" s="36" t="str">
        <x:f>IF(M162="","",M162)</x:f>
      </x:c>
      <x:c r="AI162" s="36" t="str">
        <x:f>IF(N162="","",N162)</x:f>
      </x:c>
      <x:c r="AJ162" s="36" t="str">
        <x:f>IF(O162="","",O162)</x:f>
      </x:c>
      <x:c r="AK162" s="36" t="str">
        <x:f>IF(P162="","",P162)</x:f>
      </x:c>
      <x:c r="AL162" s="36" t="str">
        <x:f>IF(R162="","",TEXT(R162,"yyyymmddhhmmss")&amp;"-"&amp;S162&amp;"-"&amp;TEXT(ROW()-4,"0000"))</x:f>
      </x:c>
      <x:c r="AM162" s="36" t="str">
        <x:f>IF(R162="","",IF(T162="KOD HATALI","Öğrenci Kodu Hatalı",IF(OR(V162="",W162="",X162="",Y162="",Z162="",AF162="",AG162="",AJ162="",AK162=""),"Eksik Zorunlu Alan",IF(OR(Y162&lt;0,Z162&lt;0,Z162&gt;Y162),"Soru Sayısı Hatası",IF(AND(AD162&lt;&gt;"",AD162&lt;V162),"Ödev Tarihi Hatası",IF(COUNTIF($AL$5:AL162,AL162)&gt;1,"Mükerrer Form Kaydı","Aktarıma Hazır"))))))</x:f>
      </x:c>
      <x:c r="AN162" s="30"/>
      <x:c r="AO162" s="40"/>
      <x:c r="AP162" s="30"/>
    </x:row>
    <x:row r="163">
      <x:c r="A163" s="158"/>
      <x:c r="B163" s="44"/>
      <x:c r="C163" s="40"/>
      <x:c r="D163" s="30"/>
      <x:c r="E163" s="30"/>
      <x:c r="F163" s="30"/>
      <x:c r="G163" s="30"/>
      <x:c r="H163" s="30"/>
      <x:c r="I163" s="40"/>
      <x:c r="J163" s="30"/>
      <x:c r="K163" s="30"/>
      <x:c r="L163" s="30"/>
      <x:c r="M163" s="30"/>
      <x:c r="N163" s="30"/>
      <x:c r="O163" s="30"/>
      <x:c r="P163" s="30"/>
      <x:c r="R163" s="160" t="str">
        <x:f>IF(A163="","",A163)</x:f>
      </x:c>
      <x:c r="S163" s="126" t="str">
        <x:f>IF(B163="","",B163)</x:f>
      </x:c>
      <x:c r="T163" s="36" t="str">
        <x:f>IF(S163="","",IFERROR(INDEX('02_Öğrenciler'!$B$5:$B$203,MATCH(S163,'02_Öğrenciler'!$A$5:$A$203,0)),"KOD HATALI"))</x:f>
      </x:c>
      <x:c r="U163" s="36" t="str">
        <x:f>IF(S163="","",IFERROR(INDEX('02_Öğrenciler'!$C$5:$C$203,MATCH(S163,'02_Öğrenciler'!$A$5:$A$203,0)),""))</x:f>
      </x:c>
      <x:c r="V163" s="132" t="str">
        <x:f>IF(C163="","",C163)</x:f>
      </x:c>
      <x:c r="W163" s="36" t="str">
        <x:f>IF(D163="","",D163)</x:f>
      </x:c>
      <x:c r="X163" s="36" t="str">
        <x:f>IF(E163="","",E163)</x:f>
      </x:c>
      <x:c r="Y163" s="36" t="str">
        <x:f>IF(F163="","",F163)</x:f>
      </x:c>
      <x:c r="Z163" s="36" t="str">
        <x:f>IF(G163="","",G163)</x:f>
      </x:c>
      <x:c r="AA163" s="36" t="str">
        <x:f>IF(OR(Y163="",Z163=""),"",Y163-Z163)</x:f>
      </x:c>
      <x:c r="AB163" s="52" t="str">
        <x:f>IF(OR(Y163="",Z163=""),"",IFERROR(Z163/Y163,0))</x:f>
      </x:c>
      <x:c r="AC163" s="36" t="str">
        <x:f>IF(H163="","",H163)</x:f>
      </x:c>
      <x:c r="AD163" s="132" t="str">
        <x:f>IF(I163="","",I163)</x:f>
      </x:c>
      <x:c r="AE163" s="36" t="str">
        <x:f>IF(J163="","",J163)</x:f>
      </x:c>
      <x:c r="AF163" s="36" t="str">
        <x:f>IF(K163="","",K163)</x:f>
      </x:c>
      <x:c r="AG163" s="36" t="str">
        <x:f>IF(L163="","",L163)</x:f>
      </x:c>
      <x:c r="AH163" s="36" t="str">
        <x:f>IF(M163="","",M163)</x:f>
      </x:c>
      <x:c r="AI163" s="36" t="str">
        <x:f>IF(N163="","",N163)</x:f>
      </x:c>
      <x:c r="AJ163" s="36" t="str">
        <x:f>IF(O163="","",O163)</x:f>
      </x:c>
      <x:c r="AK163" s="36" t="str">
        <x:f>IF(P163="","",P163)</x:f>
      </x:c>
      <x:c r="AL163" s="36" t="str">
        <x:f>IF(R163="","",TEXT(R163,"yyyymmddhhmmss")&amp;"-"&amp;S163&amp;"-"&amp;TEXT(ROW()-4,"0000"))</x:f>
      </x:c>
      <x:c r="AM163" s="36" t="str">
        <x:f>IF(R163="","",IF(T163="KOD HATALI","Öğrenci Kodu Hatalı",IF(OR(V163="",W163="",X163="",Y163="",Z163="",AF163="",AG163="",AJ163="",AK163=""),"Eksik Zorunlu Alan",IF(OR(Y163&lt;0,Z163&lt;0,Z163&gt;Y163),"Soru Sayısı Hatası",IF(AND(AD163&lt;&gt;"",AD163&lt;V163),"Ödev Tarihi Hatası",IF(COUNTIF($AL$5:AL163,AL163)&gt;1,"Mükerrer Form Kaydı","Aktarıma Hazır"))))))</x:f>
      </x:c>
      <x:c r="AN163" s="30"/>
      <x:c r="AO163" s="40"/>
      <x:c r="AP163" s="30"/>
    </x:row>
    <x:row r="164">
      <x:c r="A164" s="158"/>
      <x:c r="B164" s="44"/>
      <x:c r="C164" s="40"/>
      <x:c r="D164" s="30"/>
      <x:c r="E164" s="30"/>
      <x:c r="F164" s="30"/>
      <x:c r="G164" s="30"/>
      <x:c r="H164" s="30"/>
      <x:c r="I164" s="40"/>
      <x:c r="J164" s="30"/>
      <x:c r="K164" s="30"/>
      <x:c r="L164" s="30"/>
      <x:c r="M164" s="30"/>
      <x:c r="N164" s="30"/>
      <x:c r="O164" s="30"/>
      <x:c r="P164" s="30"/>
      <x:c r="R164" s="160" t="str">
        <x:f>IF(A164="","",A164)</x:f>
      </x:c>
      <x:c r="S164" s="126" t="str">
        <x:f>IF(B164="","",B164)</x:f>
      </x:c>
      <x:c r="T164" s="36" t="str">
        <x:f>IF(S164="","",IFERROR(INDEX('02_Öğrenciler'!$B$5:$B$203,MATCH(S164,'02_Öğrenciler'!$A$5:$A$203,0)),"KOD HATALI"))</x:f>
      </x:c>
      <x:c r="U164" s="36" t="str">
        <x:f>IF(S164="","",IFERROR(INDEX('02_Öğrenciler'!$C$5:$C$203,MATCH(S164,'02_Öğrenciler'!$A$5:$A$203,0)),""))</x:f>
      </x:c>
      <x:c r="V164" s="132" t="str">
        <x:f>IF(C164="","",C164)</x:f>
      </x:c>
      <x:c r="W164" s="36" t="str">
        <x:f>IF(D164="","",D164)</x:f>
      </x:c>
      <x:c r="X164" s="36" t="str">
        <x:f>IF(E164="","",E164)</x:f>
      </x:c>
      <x:c r="Y164" s="36" t="str">
        <x:f>IF(F164="","",F164)</x:f>
      </x:c>
      <x:c r="Z164" s="36" t="str">
        <x:f>IF(G164="","",G164)</x:f>
      </x:c>
      <x:c r="AA164" s="36" t="str">
        <x:f>IF(OR(Y164="",Z164=""),"",Y164-Z164)</x:f>
      </x:c>
      <x:c r="AB164" s="52" t="str">
        <x:f>IF(OR(Y164="",Z164=""),"",IFERROR(Z164/Y164,0))</x:f>
      </x:c>
      <x:c r="AC164" s="36" t="str">
        <x:f>IF(H164="","",H164)</x:f>
      </x:c>
      <x:c r="AD164" s="132" t="str">
        <x:f>IF(I164="","",I164)</x:f>
      </x:c>
      <x:c r="AE164" s="36" t="str">
        <x:f>IF(J164="","",J164)</x:f>
      </x:c>
      <x:c r="AF164" s="36" t="str">
        <x:f>IF(K164="","",K164)</x:f>
      </x:c>
      <x:c r="AG164" s="36" t="str">
        <x:f>IF(L164="","",L164)</x:f>
      </x:c>
      <x:c r="AH164" s="36" t="str">
        <x:f>IF(M164="","",M164)</x:f>
      </x:c>
      <x:c r="AI164" s="36" t="str">
        <x:f>IF(N164="","",N164)</x:f>
      </x:c>
      <x:c r="AJ164" s="36" t="str">
        <x:f>IF(O164="","",O164)</x:f>
      </x:c>
      <x:c r="AK164" s="36" t="str">
        <x:f>IF(P164="","",P164)</x:f>
      </x:c>
      <x:c r="AL164" s="36" t="str">
        <x:f>IF(R164="","",TEXT(R164,"yyyymmddhhmmss")&amp;"-"&amp;S164&amp;"-"&amp;TEXT(ROW()-4,"0000"))</x:f>
      </x:c>
      <x:c r="AM164" s="36" t="str">
        <x:f>IF(R164="","",IF(T164="KOD HATALI","Öğrenci Kodu Hatalı",IF(OR(V164="",W164="",X164="",Y164="",Z164="",AF164="",AG164="",AJ164="",AK164=""),"Eksik Zorunlu Alan",IF(OR(Y164&lt;0,Z164&lt;0,Z164&gt;Y164),"Soru Sayısı Hatası",IF(AND(AD164&lt;&gt;"",AD164&lt;V164),"Ödev Tarihi Hatası",IF(COUNTIF($AL$5:AL164,AL164)&gt;1,"Mükerrer Form Kaydı","Aktarıma Hazır"))))))</x:f>
      </x:c>
      <x:c r="AN164" s="30"/>
      <x:c r="AO164" s="40"/>
      <x:c r="AP164" s="30"/>
    </x:row>
    <x:row r="165">
      <x:c r="A165" s="158"/>
      <x:c r="B165" s="44"/>
      <x:c r="C165" s="40"/>
      <x:c r="D165" s="30"/>
      <x:c r="E165" s="30"/>
      <x:c r="F165" s="30"/>
      <x:c r="G165" s="30"/>
      <x:c r="H165" s="30"/>
      <x:c r="I165" s="40"/>
      <x:c r="J165" s="30"/>
      <x:c r="K165" s="30"/>
      <x:c r="L165" s="30"/>
      <x:c r="M165" s="30"/>
      <x:c r="N165" s="30"/>
      <x:c r="O165" s="30"/>
      <x:c r="P165" s="30"/>
      <x:c r="R165" s="160" t="str">
        <x:f>IF(A165="","",A165)</x:f>
      </x:c>
      <x:c r="S165" s="126" t="str">
        <x:f>IF(B165="","",B165)</x:f>
      </x:c>
      <x:c r="T165" s="36" t="str">
        <x:f>IF(S165="","",IFERROR(INDEX('02_Öğrenciler'!$B$5:$B$203,MATCH(S165,'02_Öğrenciler'!$A$5:$A$203,0)),"KOD HATALI"))</x:f>
      </x:c>
      <x:c r="U165" s="36" t="str">
        <x:f>IF(S165="","",IFERROR(INDEX('02_Öğrenciler'!$C$5:$C$203,MATCH(S165,'02_Öğrenciler'!$A$5:$A$203,0)),""))</x:f>
      </x:c>
      <x:c r="V165" s="132" t="str">
        <x:f>IF(C165="","",C165)</x:f>
      </x:c>
      <x:c r="W165" s="36" t="str">
        <x:f>IF(D165="","",D165)</x:f>
      </x:c>
      <x:c r="X165" s="36" t="str">
        <x:f>IF(E165="","",E165)</x:f>
      </x:c>
      <x:c r="Y165" s="36" t="str">
        <x:f>IF(F165="","",F165)</x:f>
      </x:c>
      <x:c r="Z165" s="36" t="str">
        <x:f>IF(G165="","",G165)</x:f>
      </x:c>
      <x:c r="AA165" s="36" t="str">
        <x:f>IF(OR(Y165="",Z165=""),"",Y165-Z165)</x:f>
      </x:c>
      <x:c r="AB165" s="52" t="str">
        <x:f>IF(OR(Y165="",Z165=""),"",IFERROR(Z165/Y165,0))</x:f>
      </x:c>
      <x:c r="AC165" s="36" t="str">
        <x:f>IF(H165="","",H165)</x:f>
      </x:c>
      <x:c r="AD165" s="132" t="str">
        <x:f>IF(I165="","",I165)</x:f>
      </x:c>
      <x:c r="AE165" s="36" t="str">
        <x:f>IF(J165="","",J165)</x:f>
      </x:c>
      <x:c r="AF165" s="36" t="str">
        <x:f>IF(K165="","",K165)</x:f>
      </x:c>
      <x:c r="AG165" s="36" t="str">
        <x:f>IF(L165="","",L165)</x:f>
      </x:c>
      <x:c r="AH165" s="36" t="str">
        <x:f>IF(M165="","",M165)</x:f>
      </x:c>
      <x:c r="AI165" s="36" t="str">
        <x:f>IF(N165="","",N165)</x:f>
      </x:c>
      <x:c r="AJ165" s="36" t="str">
        <x:f>IF(O165="","",O165)</x:f>
      </x:c>
      <x:c r="AK165" s="36" t="str">
        <x:f>IF(P165="","",P165)</x:f>
      </x:c>
      <x:c r="AL165" s="36" t="str">
        <x:f>IF(R165="","",TEXT(R165,"yyyymmddhhmmss")&amp;"-"&amp;S165&amp;"-"&amp;TEXT(ROW()-4,"0000"))</x:f>
      </x:c>
      <x:c r="AM165" s="36" t="str">
        <x:f>IF(R165="","",IF(T165="KOD HATALI","Öğrenci Kodu Hatalı",IF(OR(V165="",W165="",X165="",Y165="",Z165="",AF165="",AG165="",AJ165="",AK165=""),"Eksik Zorunlu Alan",IF(OR(Y165&lt;0,Z165&lt;0,Z165&gt;Y165),"Soru Sayısı Hatası",IF(AND(AD165&lt;&gt;"",AD165&lt;V165),"Ödev Tarihi Hatası",IF(COUNTIF($AL$5:AL165,AL165)&gt;1,"Mükerrer Form Kaydı","Aktarıma Hazır"))))))</x:f>
      </x:c>
      <x:c r="AN165" s="30"/>
      <x:c r="AO165" s="40"/>
      <x:c r="AP165" s="30"/>
    </x:row>
    <x:row r="166">
      <x:c r="A166" s="158"/>
      <x:c r="B166" s="44"/>
      <x:c r="C166" s="40"/>
      <x:c r="D166" s="30"/>
      <x:c r="E166" s="30"/>
      <x:c r="F166" s="30"/>
      <x:c r="G166" s="30"/>
      <x:c r="H166" s="30"/>
      <x:c r="I166" s="40"/>
      <x:c r="J166" s="30"/>
      <x:c r="K166" s="30"/>
      <x:c r="L166" s="30"/>
      <x:c r="M166" s="30"/>
      <x:c r="N166" s="30"/>
      <x:c r="O166" s="30"/>
      <x:c r="P166" s="30"/>
      <x:c r="R166" s="160" t="str">
        <x:f>IF(A166="","",A166)</x:f>
      </x:c>
      <x:c r="S166" s="126" t="str">
        <x:f>IF(B166="","",B166)</x:f>
      </x:c>
      <x:c r="T166" s="36" t="str">
        <x:f>IF(S166="","",IFERROR(INDEX('02_Öğrenciler'!$B$5:$B$203,MATCH(S166,'02_Öğrenciler'!$A$5:$A$203,0)),"KOD HATALI"))</x:f>
      </x:c>
      <x:c r="U166" s="36" t="str">
        <x:f>IF(S166="","",IFERROR(INDEX('02_Öğrenciler'!$C$5:$C$203,MATCH(S166,'02_Öğrenciler'!$A$5:$A$203,0)),""))</x:f>
      </x:c>
      <x:c r="V166" s="132" t="str">
        <x:f>IF(C166="","",C166)</x:f>
      </x:c>
      <x:c r="W166" s="36" t="str">
        <x:f>IF(D166="","",D166)</x:f>
      </x:c>
      <x:c r="X166" s="36" t="str">
        <x:f>IF(E166="","",E166)</x:f>
      </x:c>
      <x:c r="Y166" s="36" t="str">
        <x:f>IF(F166="","",F166)</x:f>
      </x:c>
      <x:c r="Z166" s="36" t="str">
        <x:f>IF(G166="","",G166)</x:f>
      </x:c>
      <x:c r="AA166" s="36" t="str">
        <x:f>IF(OR(Y166="",Z166=""),"",Y166-Z166)</x:f>
      </x:c>
      <x:c r="AB166" s="52" t="str">
        <x:f>IF(OR(Y166="",Z166=""),"",IFERROR(Z166/Y166,0))</x:f>
      </x:c>
      <x:c r="AC166" s="36" t="str">
        <x:f>IF(H166="","",H166)</x:f>
      </x:c>
      <x:c r="AD166" s="132" t="str">
        <x:f>IF(I166="","",I166)</x:f>
      </x:c>
      <x:c r="AE166" s="36" t="str">
        <x:f>IF(J166="","",J166)</x:f>
      </x:c>
      <x:c r="AF166" s="36" t="str">
        <x:f>IF(K166="","",K166)</x:f>
      </x:c>
      <x:c r="AG166" s="36" t="str">
        <x:f>IF(L166="","",L166)</x:f>
      </x:c>
      <x:c r="AH166" s="36" t="str">
        <x:f>IF(M166="","",M166)</x:f>
      </x:c>
      <x:c r="AI166" s="36" t="str">
        <x:f>IF(N166="","",N166)</x:f>
      </x:c>
      <x:c r="AJ166" s="36" t="str">
        <x:f>IF(O166="","",O166)</x:f>
      </x:c>
      <x:c r="AK166" s="36" t="str">
        <x:f>IF(P166="","",P166)</x:f>
      </x:c>
      <x:c r="AL166" s="36" t="str">
        <x:f>IF(R166="","",TEXT(R166,"yyyymmddhhmmss")&amp;"-"&amp;S166&amp;"-"&amp;TEXT(ROW()-4,"0000"))</x:f>
      </x:c>
      <x:c r="AM166" s="36" t="str">
        <x:f>IF(R166="","",IF(T166="KOD HATALI","Öğrenci Kodu Hatalı",IF(OR(V166="",W166="",X166="",Y166="",Z166="",AF166="",AG166="",AJ166="",AK166=""),"Eksik Zorunlu Alan",IF(OR(Y166&lt;0,Z166&lt;0,Z166&gt;Y166),"Soru Sayısı Hatası",IF(AND(AD166&lt;&gt;"",AD166&lt;V166),"Ödev Tarihi Hatası",IF(COUNTIF($AL$5:AL166,AL166)&gt;1,"Mükerrer Form Kaydı","Aktarıma Hazır"))))))</x:f>
      </x:c>
      <x:c r="AN166" s="30"/>
      <x:c r="AO166" s="40"/>
      <x:c r="AP166" s="30"/>
    </x:row>
    <x:row r="167">
      <x:c r="A167" s="158"/>
      <x:c r="B167" s="44"/>
      <x:c r="C167" s="40"/>
      <x:c r="D167" s="30"/>
      <x:c r="E167" s="30"/>
      <x:c r="F167" s="30"/>
      <x:c r="G167" s="30"/>
      <x:c r="H167" s="30"/>
      <x:c r="I167" s="40"/>
      <x:c r="J167" s="30"/>
      <x:c r="K167" s="30"/>
      <x:c r="L167" s="30"/>
      <x:c r="M167" s="30"/>
      <x:c r="N167" s="30"/>
      <x:c r="O167" s="30"/>
      <x:c r="P167" s="30"/>
      <x:c r="R167" s="160" t="str">
        <x:f>IF(A167="","",A167)</x:f>
      </x:c>
      <x:c r="S167" s="126" t="str">
        <x:f>IF(B167="","",B167)</x:f>
      </x:c>
      <x:c r="T167" s="36" t="str">
        <x:f>IF(S167="","",IFERROR(INDEX('02_Öğrenciler'!$B$5:$B$203,MATCH(S167,'02_Öğrenciler'!$A$5:$A$203,0)),"KOD HATALI"))</x:f>
      </x:c>
      <x:c r="U167" s="36" t="str">
        <x:f>IF(S167="","",IFERROR(INDEX('02_Öğrenciler'!$C$5:$C$203,MATCH(S167,'02_Öğrenciler'!$A$5:$A$203,0)),""))</x:f>
      </x:c>
      <x:c r="V167" s="132" t="str">
        <x:f>IF(C167="","",C167)</x:f>
      </x:c>
      <x:c r="W167" s="36" t="str">
        <x:f>IF(D167="","",D167)</x:f>
      </x:c>
      <x:c r="X167" s="36" t="str">
        <x:f>IF(E167="","",E167)</x:f>
      </x:c>
      <x:c r="Y167" s="36" t="str">
        <x:f>IF(F167="","",F167)</x:f>
      </x:c>
      <x:c r="Z167" s="36" t="str">
        <x:f>IF(G167="","",G167)</x:f>
      </x:c>
      <x:c r="AA167" s="36" t="str">
        <x:f>IF(OR(Y167="",Z167=""),"",Y167-Z167)</x:f>
      </x:c>
      <x:c r="AB167" s="52" t="str">
        <x:f>IF(OR(Y167="",Z167=""),"",IFERROR(Z167/Y167,0))</x:f>
      </x:c>
      <x:c r="AC167" s="36" t="str">
        <x:f>IF(H167="","",H167)</x:f>
      </x:c>
      <x:c r="AD167" s="132" t="str">
        <x:f>IF(I167="","",I167)</x:f>
      </x:c>
      <x:c r="AE167" s="36" t="str">
        <x:f>IF(J167="","",J167)</x:f>
      </x:c>
      <x:c r="AF167" s="36" t="str">
        <x:f>IF(K167="","",K167)</x:f>
      </x:c>
      <x:c r="AG167" s="36" t="str">
        <x:f>IF(L167="","",L167)</x:f>
      </x:c>
      <x:c r="AH167" s="36" t="str">
        <x:f>IF(M167="","",M167)</x:f>
      </x:c>
      <x:c r="AI167" s="36" t="str">
        <x:f>IF(N167="","",N167)</x:f>
      </x:c>
      <x:c r="AJ167" s="36" t="str">
        <x:f>IF(O167="","",O167)</x:f>
      </x:c>
      <x:c r="AK167" s="36" t="str">
        <x:f>IF(P167="","",P167)</x:f>
      </x:c>
      <x:c r="AL167" s="36" t="str">
        <x:f>IF(R167="","",TEXT(R167,"yyyymmddhhmmss")&amp;"-"&amp;S167&amp;"-"&amp;TEXT(ROW()-4,"0000"))</x:f>
      </x:c>
      <x:c r="AM167" s="36" t="str">
        <x:f>IF(R167="","",IF(T167="KOD HATALI","Öğrenci Kodu Hatalı",IF(OR(V167="",W167="",X167="",Y167="",Z167="",AF167="",AG167="",AJ167="",AK167=""),"Eksik Zorunlu Alan",IF(OR(Y167&lt;0,Z167&lt;0,Z167&gt;Y167),"Soru Sayısı Hatası",IF(AND(AD167&lt;&gt;"",AD167&lt;V167),"Ödev Tarihi Hatası",IF(COUNTIF($AL$5:AL167,AL167)&gt;1,"Mükerrer Form Kaydı","Aktarıma Hazır"))))))</x:f>
      </x:c>
      <x:c r="AN167" s="30"/>
      <x:c r="AO167" s="40"/>
      <x:c r="AP167" s="30"/>
    </x:row>
    <x:row r="168">
      <x:c r="A168" s="158"/>
      <x:c r="B168" s="44"/>
      <x:c r="C168" s="40"/>
      <x:c r="D168" s="30"/>
      <x:c r="E168" s="30"/>
      <x:c r="F168" s="30"/>
      <x:c r="G168" s="30"/>
      <x:c r="H168" s="30"/>
      <x:c r="I168" s="40"/>
      <x:c r="J168" s="30"/>
      <x:c r="K168" s="30"/>
      <x:c r="L168" s="30"/>
      <x:c r="M168" s="30"/>
      <x:c r="N168" s="30"/>
      <x:c r="O168" s="30"/>
      <x:c r="P168" s="30"/>
      <x:c r="R168" s="160" t="str">
        <x:f>IF(A168="","",A168)</x:f>
      </x:c>
      <x:c r="S168" s="126" t="str">
        <x:f>IF(B168="","",B168)</x:f>
      </x:c>
      <x:c r="T168" s="36" t="str">
        <x:f>IF(S168="","",IFERROR(INDEX('02_Öğrenciler'!$B$5:$B$203,MATCH(S168,'02_Öğrenciler'!$A$5:$A$203,0)),"KOD HATALI"))</x:f>
      </x:c>
      <x:c r="U168" s="36" t="str">
        <x:f>IF(S168="","",IFERROR(INDEX('02_Öğrenciler'!$C$5:$C$203,MATCH(S168,'02_Öğrenciler'!$A$5:$A$203,0)),""))</x:f>
      </x:c>
      <x:c r="V168" s="132" t="str">
        <x:f>IF(C168="","",C168)</x:f>
      </x:c>
      <x:c r="W168" s="36" t="str">
        <x:f>IF(D168="","",D168)</x:f>
      </x:c>
      <x:c r="X168" s="36" t="str">
        <x:f>IF(E168="","",E168)</x:f>
      </x:c>
      <x:c r="Y168" s="36" t="str">
        <x:f>IF(F168="","",F168)</x:f>
      </x:c>
      <x:c r="Z168" s="36" t="str">
        <x:f>IF(G168="","",G168)</x:f>
      </x:c>
      <x:c r="AA168" s="36" t="str">
        <x:f>IF(OR(Y168="",Z168=""),"",Y168-Z168)</x:f>
      </x:c>
      <x:c r="AB168" s="52" t="str">
        <x:f>IF(OR(Y168="",Z168=""),"",IFERROR(Z168/Y168,0))</x:f>
      </x:c>
      <x:c r="AC168" s="36" t="str">
        <x:f>IF(H168="","",H168)</x:f>
      </x:c>
      <x:c r="AD168" s="132" t="str">
        <x:f>IF(I168="","",I168)</x:f>
      </x:c>
      <x:c r="AE168" s="36" t="str">
        <x:f>IF(J168="","",J168)</x:f>
      </x:c>
      <x:c r="AF168" s="36" t="str">
        <x:f>IF(K168="","",K168)</x:f>
      </x:c>
      <x:c r="AG168" s="36" t="str">
        <x:f>IF(L168="","",L168)</x:f>
      </x:c>
      <x:c r="AH168" s="36" t="str">
        <x:f>IF(M168="","",M168)</x:f>
      </x:c>
      <x:c r="AI168" s="36" t="str">
        <x:f>IF(N168="","",N168)</x:f>
      </x:c>
      <x:c r="AJ168" s="36" t="str">
        <x:f>IF(O168="","",O168)</x:f>
      </x:c>
      <x:c r="AK168" s="36" t="str">
        <x:f>IF(P168="","",P168)</x:f>
      </x:c>
      <x:c r="AL168" s="36" t="str">
        <x:f>IF(R168="","",TEXT(R168,"yyyymmddhhmmss")&amp;"-"&amp;S168&amp;"-"&amp;TEXT(ROW()-4,"0000"))</x:f>
      </x:c>
      <x:c r="AM168" s="36" t="str">
        <x:f>IF(R168="","",IF(T168="KOD HATALI","Öğrenci Kodu Hatalı",IF(OR(V168="",W168="",X168="",Y168="",Z168="",AF168="",AG168="",AJ168="",AK168=""),"Eksik Zorunlu Alan",IF(OR(Y168&lt;0,Z168&lt;0,Z168&gt;Y168),"Soru Sayısı Hatası",IF(AND(AD168&lt;&gt;"",AD168&lt;V168),"Ödev Tarihi Hatası",IF(COUNTIF($AL$5:AL168,AL168)&gt;1,"Mükerrer Form Kaydı","Aktarıma Hazır"))))))</x:f>
      </x:c>
      <x:c r="AN168" s="30"/>
      <x:c r="AO168" s="40"/>
      <x:c r="AP168" s="30"/>
    </x:row>
    <x:row r="169">
      <x:c r="A169" s="158"/>
      <x:c r="B169" s="44"/>
      <x:c r="C169" s="40"/>
      <x:c r="D169" s="30"/>
      <x:c r="E169" s="30"/>
      <x:c r="F169" s="30"/>
      <x:c r="G169" s="30"/>
      <x:c r="H169" s="30"/>
      <x:c r="I169" s="40"/>
      <x:c r="J169" s="30"/>
      <x:c r="K169" s="30"/>
      <x:c r="L169" s="30"/>
      <x:c r="M169" s="30"/>
      <x:c r="N169" s="30"/>
      <x:c r="O169" s="30"/>
      <x:c r="P169" s="30"/>
      <x:c r="R169" s="160" t="str">
        <x:f>IF(A169="","",A169)</x:f>
      </x:c>
      <x:c r="S169" s="126" t="str">
        <x:f>IF(B169="","",B169)</x:f>
      </x:c>
      <x:c r="T169" s="36" t="str">
        <x:f>IF(S169="","",IFERROR(INDEX('02_Öğrenciler'!$B$5:$B$203,MATCH(S169,'02_Öğrenciler'!$A$5:$A$203,0)),"KOD HATALI"))</x:f>
      </x:c>
      <x:c r="U169" s="36" t="str">
        <x:f>IF(S169="","",IFERROR(INDEX('02_Öğrenciler'!$C$5:$C$203,MATCH(S169,'02_Öğrenciler'!$A$5:$A$203,0)),""))</x:f>
      </x:c>
      <x:c r="V169" s="132" t="str">
        <x:f>IF(C169="","",C169)</x:f>
      </x:c>
      <x:c r="W169" s="36" t="str">
        <x:f>IF(D169="","",D169)</x:f>
      </x:c>
      <x:c r="X169" s="36" t="str">
        <x:f>IF(E169="","",E169)</x:f>
      </x:c>
      <x:c r="Y169" s="36" t="str">
        <x:f>IF(F169="","",F169)</x:f>
      </x:c>
      <x:c r="Z169" s="36" t="str">
        <x:f>IF(G169="","",G169)</x:f>
      </x:c>
      <x:c r="AA169" s="36" t="str">
        <x:f>IF(OR(Y169="",Z169=""),"",Y169-Z169)</x:f>
      </x:c>
      <x:c r="AB169" s="52" t="str">
        <x:f>IF(OR(Y169="",Z169=""),"",IFERROR(Z169/Y169,0))</x:f>
      </x:c>
      <x:c r="AC169" s="36" t="str">
        <x:f>IF(H169="","",H169)</x:f>
      </x:c>
      <x:c r="AD169" s="132" t="str">
        <x:f>IF(I169="","",I169)</x:f>
      </x:c>
      <x:c r="AE169" s="36" t="str">
        <x:f>IF(J169="","",J169)</x:f>
      </x:c>
      <x:c r="AF169" s="36" t="str">
        <x:f>IF(K169="","",K169)</x:f>
      </x:c>
      <x:c r="AG169" s="36" t="str">
        <x:f>IF(L169="","",L169)</x:f>
      </x:c>
      <x:c r="AH169" s="36" t="str">
        <x:f>IF(M169="","",M169)</x:f>
      </x:c>
      <x:c r="AI169" s="36" t="str">
        <x:f>IF(N169="","",N169)</x:f>
      </x:c>
      <x:c r="AJ169" s="36" t="str">
        <x:f>IF(O169="","",O169)</x:f>
      </x:c>
      <x:c r="AK169" s="36" t="str">
        <x:f>IF(P169="","",P169)</x:f>
      </x:c>
      <x:c r="AL169" s="36" t="str">
        <x:f>IF(R169="","",TEXT(R169,"yyyymmddhhmmss")&amp;"-"&amp;S169&amp;"-"&amp;TEXT(ROW()-4,"0000"))</x:f>
      </x:c>
      <x:c r="AM169" s="36" t="str">
        <x:f>IF(R169="","",IF(T169="KOD HATALI","Öğrenci Kodu Hatalı",IF(OR(V169="",W169="",X169="",Y169="",Z169="",AF169="",AG169="",AJ169="",AK169=""),"Eksik Zorunlu Alan",IF(OR(Y169&lt;0,Z169&lt;0,Z169&gt;Y169),"Soru Sayısı Hatası",IF(AND(AD169&lt;&gt;"",AD169&lt;V169),"Ödev Tarihi Hatası",IF(COUNTIF($AL$5:AL169,AL169)&gt;1,"Mükerrer Form Kaydı","Aktarıma Hazır"))))))</x:f>
      </x:c>
      <x:c r="AN169" s="30"/>
      <x:c r="AO169" s="40"/>
      <x:c r="AP169" s="30"/>
    </x:row>
    <x:row r="170">
      <x:c r="A170" s="158"/>
      <x:c r="B170" s="44"/>
      <x:c r="C170" s="40"/>
      <x:c r="D170" s="30"/>
      <x:c r="E170" s="30"/>
      <x:c r="F170" s="30"/>
      <x:c r="G170" s="30"/>
      <x:c r="H170" s="30"/>
      <x:c r="I170" s="40"/>
      <x:c r="J170" s="30"/>
      <x:c r="K170" s="30"/>
      <x:c r="L170" s="30"/>
      <x:c r="M170" s="30"/>
      <x:c r="N170" s="30"/>
      <x:c r="O170" s="30"/>
      <x:c r="P170" s="30"/>
      <x:c r="R170" s="160" t="str">
        <x:f>IF(A170="","",A170)</x:f>
      </x:c>
      <x:c r="S170" s="126" t="str">
        <x:f>IF(B170="","",B170)</x:f>
      </x:c>
      <x:c r="T170" s="36" t="str">
        <x:f>IF(S170="","",IFERROR(INDEX('02_Öğrenciler'!$B$5:$B$203,MATCH(S170,'02_Öğrenciler'!$A$5:$A$203,0)),"KOD HATALI"))</x:f>
      </x:c>
      <x:c r="U170" s="36" t="str">
        <x:f>IF(S170="","",IFERROR(INDEX('02_Öğrenciler'!$C$5:$C$203,MATCH(S170,'02_Öğrenciler'!$A$5:$A$203,0)),""))</x:f>
      </x:c>
      <x:c r="V170" s="132" t="str">
        <x:f>IF(C170="","",C170)</x:f>
      </x:c>
      <x:c r="W170" s="36" t="str">
        <x:f>IF(D170="","",D170)</x:f>
      </x:c>
      <x:c r="X170" s="36" t="str">
        <x:f>IF(E170="","",E170)</x:f>
      </x:c>
      <x:c r="Y170" s="36" t="str">
        <x:f>IF(F170="","",F170)</x:f>
      </x:c>
      <x:c r="Z170" s="36" t="str">
        <x:f>IF(G170="","",G170)</x:f>
      </x:c>
      <x:c r="AA170" s="36" t="str">
        <x:f>IF(OR(Y170="",Z170=""),"",Y170-Z170)</x:f>
      </x:c>
      <x:c r="AB170" s="52" t="str">
        <x:f>IF(OR(Y170="",Z170=""),"",IFERROR(Z170/Y170,0))</x:f>
      </x:c>
      <x:c r="AC170" s="36" t="str">
        <x:f>IF(H170="","",H170)</x:f>
      </x:c>
      <x:c r="AD170" s="132" t="str">
        <x:f>IF(I170="","",I170)</x:f>
      </x:c>
      <x:c r="AE170" s="36" t="str">
        <x:f>IF(J170="","",J170)</x:f>
      </x:c>
      <x:c r="AF170" s="36" t="str">
        <x:f>IF(K170="","",K170)</x:f>
      </x:c>
      <x:c r="AG170" s="36" t="str">
        <x:f>IF(L170="","",L170)</x:f>
      </x:c>
      <x:c r="AH170" s="36" t="str">
        <x:f>IF(M170="","",M170)</x:f>
      </x:c>
      <x:c r="AI170" s="36" t="str">
        <x:f>IF(N170="","",N170)</x:f>
      </x:c>
      <x:c r="AJ170" s="36" t="str">
        <x:f>IF(O170="","",O170)</x:f>
      </x:c>
      <x:c r="AK170" s="36" t="str">
        <x:f>IF(P170="","",P170)</x:f>
      </x:c>
      <x:c r="AL170" s="36" t="str">
        <x:f>IF(R170="","",TEXT(R170,"yyyymmddhhmmss")&amp;"-"&amp;S170&amp;"-"&amp;TEXT(ROW()-4,"0000"))</x:f>
      </x:c>
      <x:c r="AM170" s="36" t="str">
        <x:f>IF(R170="","",IF(T170="KOD HATALI","Öğrenci Kodu Hatalı",IF(OR(V170="",W170="",X170="",Y170="",Z170="",AF170="",AG170="",AJ170="",AK170=""),"Eksik Zorunlu Alan",IF(OR(Y170&lt;0,Z170&lt;0,Z170&gt;Y170),"Soru Sayısı Hatası",IF(AND(AD170&lt;&gt;"",AD170&lt;V170),"Ödev Tarihi Hatası",IF(COUNTIF($AL$5:AL170,AL170)&gt;1,"Mükerrer Form Kaydı","Aktarıma Hazır"))))))</x:f>
      </x:c>
      <x:c r="AN170" s="30"/>
      <x:c r="AO170" s="40"/>
      <x:c r="AP170" s="30"/>
    </x:row>
    <x:row r="171">
      <x:c r="A171" s="158"/>
      <x:c r="B171" s="44"/>
      <x:c r="C171" s="40"/>
      <x:c r="D171" s="30"/>
      <x:c r="E171" s="30"/>
      <x:c r="F171" s="30"/>
      <x:c r="G171" s="30"/>
      <x:c r="H171" s="30"/>
      <x:c r="I171" s="40"/>
      <x:c r="J171" s="30"/>
      <x:c r="K171" s="30"/>
      <x:c r="L171" s="30"/>
      <x:c r="M171" s="30"/>
      <x:c r="N171" s="30"/>
      <x:c r="O171" s="30"/>
      <x:c r="P171" s="30"/>
      <x:c r="R171" s="160" t="str">
        <x:f>IF(A171="","",A171)</x:f>
      </x:c>
      <x:c r="S171" s="126" t="str">
        <x:f>IF(B171="","",B171)</x:f>
      </x:c>
      <x:c r="T171" s="36" t="str">
        <x:f>IF(S171="","",IFERROR(INDEX('02_Öğrenciler'!$B$5:$B$203,MATCH(S171,'02_Öğrenciler'!$A$5:$A$203,0)),"KOD HATALI"))</x:f>
      </x:c>
      <x:c r="U171" s="36" t="str">
        <x:f>IF(S171="","",IFERROR(INDEX('02_Öğrenciler'!$C$5:$C$203,MATCH(S171,'02_Öğrenciler'!$A$5:$A$203,0)),""))</x:f>
      </x:c>
      <x:c r="V171" s="132" t="str">
        <x:f>IF(C171="","",C171)</x:f>
      </x:c>
      <x:c r="W171" s="36" t="str">
        <x:f>IF(D171="","",D171)</x:f>
      </x:c>
      <x:c r="X171" s="36" t="str">
        <x:f>IF(E171="","",E171)</x:f>
      </x:c>
      <x:c r="Y171" s="36" t="str">
        <x:f>IF(F171="","",F171)</x:f>
      </x:c>
      <x:c r="Z171" s="36" t="str">
        <x:f>IF(G171="","",G171)</x:f>
      </x:c>
      <x:c r="AA171" s="36" t="str">
        <x:f>IF(OR(Y171="",Z171=""),"",Y171-Z171)</x:f>
      </x:c>
      <x:c r="AB171" s="52" t="str">
        <x:f>IF(OR(Y171="",Z171=""),"",IFERROR(Z171/Y171,0))</x:f>
      </x:c>
      <x:c r="AC171" s="36" t="str">
        <x:f>IF(H171="","",H171)</x:f>
      </x:c>
      <x:c r="AD171" s="132" t="str">
        <x:f>IF(I171="","",I171)</x:f>
      </x:c>
      <x:c r="AE171" s="36" t="str">
        <x:f>IF(J171="","",J171)</x:f>
      </x:c>
      <x:c r="AF171" s="36" t="str">
        <x:f>IF(K171="","",K171)</x:f>
      </x:c>
      <x:c r="AG171" s="36" t="str">
        <x:f>IF(L171="","",L171)</x:f>
      </x:c>
      <x:c r="AH171" s="36" t="str">
        <x:f>IF(M171="","",M171)</x:f>
      </x:c>
      <x:c r="AI171" s="36" t="str">
        <x:f>IF(N171="","",N171)</x:f>
      </x:c>
      <x:c r="AJ171" s="36" t="str">
        <x:f>IF(O171="","",O171)</x:f>
      </x:c>
      <x:c r="AK171" s="36" t="str">
        <x:f>IF(P171="","",P171)</x:f>
      </x:c>
      <x:c r="AL171" s="36" t="str">
        <x:f>IF(R171="","",TEXT(R171,"yyyymmddhhmmss")&amp;"-"&amp;S171&amp;"-"&amp;TEXT(ROW()-4,"0000"))</x:f>
      </x:c>
      <x:c r="AM171" s="36" t="str">
        <x:f>IF(R171="","",IF(T171="KOD HATALI","Öğrenci Kodu Hatalı",IF(OR(V171="",W171="",X171="",Y171="",Z171="",AF171="",AG171="",AJ171="",AK171=""),"Eksik Zorunlu Alan",IF(OR(Y171&lt;0,Z171&lt;0,Z171&gt;Y171),"Soru Sayısı Hatası",IF(AND(AD171&lt;&gt;"",AD171&lt;V171),"Ödev Tarihi Hatası",IF(COUNTIF($AL$5:AL171,AL171)&gt;1,"Mükerrer Form Kaydı","Aktarıma Hazır"))))))</x:f>
      </x:c>
      <x:c r="AN171" s="30"/>
      <x:c r="AO171" s="40"/>
      <x:c r="AP171" s="30"/>
    </x:row>
    <x:row r="172">
      <x:c r="A172" s="158"/>
      <x:c r="B172" s="44"/>
      <x:c r="C172" s="40"/>
      <x:c r="D172" s="30"/>
      <x:c r="E172" s="30"/>
      <x:c r="F172" s="30"/>
      <x:c r="G172" s="30"/>
      <x:c r="H172" s="30"/>
      <x:c r="I172" s="40"/>
      <x:c r="J172" s="30"/>
      <x:c r="K172" s="30"/>
      <x:c r="L172" s="30"/>
      <x:c r="M172" s="30"/>
      <x:c r="N172" s="30"/>
      <x:c r="O172" s="30"/>
      <x:c r="P172" s="30"/>
      <x:c r="R172" s="160" t="str">
        <x:f>IF(A172="","",A172)</x:f>
      </x:c>
      <x:c r="S172" s="126" t="str">
        <x:f>IF(B172="","",B172)</x:f>
      </x:c>
      <x:c r="T172" s="36" t="str">
        <x:f>IF(S172="","",IFERROR(INDEX('02_Öğrenciler'!$B$5:$B$203,MATCH(S172,'02_Öğrenciler'!$A$5:$A$203,0)),"KOD HATALI"))</x:f>
      </x:c>
      <x:c r="U172" s="36" t="str">
        <x:f>IF(S172="","",IFERROR(INDEX('02_Öğrenciler'!$C$5:$C$203,MATCH(S172,'02_Öğrenciler'!$A$5:$A$203,0)),""))</x:f>
      </x:c>
      <x:c r="V172" s="132" t="str">
        <x:f>IF(C172="","",C172)</x:f>
      </x:c>
      <x:c r="W172" s="36" t="str">
        <x:f>IF(D172="","",D172)</x:f>
      </x:c>
      <x:c r="X172" s="36" t="str">
        <x:f>IF(E172="","",E172)</x:f>
      </x:c>
      <x:c r="Y172" s="36" t="str">
        <x:f>IF(F172="","",F172)</x:f>
      </x:c>
      <x:c r="Z172" s="36" t="str">
        <x:f>IF(G172="","",G172)</x:f>
      </x:c>
      <x:c r="AA172" s="36" t="str">
        <x:f>IF(OR(Y172="",Z172=""),"",Y172-Z172)</x:f>
      </x:c>
      <x:c r="AB172" s="52" t="str">
        <x:f>IF(OR(Y172="",Z172=""),"",IFERROR(Z172/Y172,0))</x:f>
      </x:c>
      <x:c r="AC172" s="36" t="str">
        <x:f>IF(H172="","",H172)</x:f>
      </x:c>
      <x:c r="AD172" s="132" t="str">
        <x:f>IF(I172="","",I172)</x:f>
      </x:c>
      <x:c r="AE172" s="36" t="str">
        <x:f>IF(J172="","",J172)</x:f>
      </x:c>
      <x:c r="AF172" s="36" t="str">
        <x:f>IF(K172="","",K172)</x:f>
      </x:c>
      <x:c r="AG172" s="36" t="str">
        <x:f>IF(L172="","",L172)</x:f>
      </x:c>
      <x:c r="AH172" s="36" t="str">
        <x:f>IF(M172="","",M172)</x:f>
      </x:c>
      <x:c r="AI172" s="36" t="str">
        <x:f>IF(N172="","",N172)</x:f>
      </x:c>
      <x:c r="AJ172" s="36" t="str">
        <x:f>IF(O172="","",O172)</x:f>
      </x:c>
      <x:c r="AK172" s="36" t="str">
        <x:f>IF(P172="","",P172)</x:f>
      </x:c>
      <x:c r="AL172" s="36" t="str">
        <x:f>IF(R172="","",TEXT(R172,"yyyymmddhhmmss")&amp;"-"&amp;S172&amp;"-"&amp;TEXT(ROW()-4,"0000"))</x:f>
      </x:c>
      <x:c r="AM172" s="36" t="str">
        <x:f>IF(R172="","",IF(T172="KOD HATALI","Öğrenci Kodu Hatalı",IF(OR(V172="",W172="",X172="",Y172="",Z172="",AF172="",AG172="",AJ172="",AK172=""),"Eksik Zorunlu Alan",IF(OR(Y172&lt;0,Z172&lt;0,Z172&gt;Y172),"Soru Sayısı Hatası",IF(AND(AD172&lt;&gt;"",AD172&lt;V172),"Ödev Tarihi Hatası",IF(COUNTIF($AL$5:AL172,AL172)&gt;1,"Mükerrer Form Kaydı","Aktarıma Hazır"))))))</x:f>
      </x:c>
      <x:c r="AN172" s="30"/>
      <x:c r="AO172" s="40"/>
      <x:c r="AP172" s="30"/>
    </x:row>
    <x:row r="173">
      <x:c r="A173" s="158"/>
      <x:c r="B173" s="44"/>
      <x:c r="C173" s="40"/>
      <x:c r="D173" s="30"/>
      <x:c r="E173" s="30"/>
      <x:c r="F173" s="30"/>
      <x:c r="G173" s="30"/>
      <x:c r="H173" s="30"/>
      <x:c r="I173" s="40"/>
      <x:c r="J173" s="30"/>
      <x:c r="K173" s="30"/>
      <x:c r="L173" s="30"/>
      <x:c r="M173" s="30"/>
      <x:c r="N173" s="30"/>
      <x:c r="O173" s="30"/>
      <x:c r="P173" s="30"/>
      <x:c r="R173" s="160" t="str">
        <x:f>IF(A173="","",A173)</x:f>
      </x:c>
      <x:c r="S173" s="126" t="str">
        <x:f>IF(B173="","",B173)</x:f>
      </x:c>
      <x:c r="T173" s="36" t="str">
        <x:f>IF(S173="","",IFERROR(INDEX('02_Öğrenciler'!$B$5:$B$203,MATCH(S173,'02_Öğrenciler'!$A$5:$A$203,0)),"KOD HATALI"))</x:f>
      </x:c>
      <x:c r="U173" s="36" t="str">
        <x:f>IF(S173="","",IFERROR(INDEX('02_Öğrenciler'!$C$5:$C$203,MATCH(S173,'02_Öğrenciler'!$A$5:$A$203,0)),""))</x:f>
      </x:c>
      <x:c r="V173" s="132" t="str">
        <x:f>IF(C173="","",C173)</x:f>
      </x:c>
      <x:c r="W173" s="36" t="str">
        <x:f>IF(D173="","",D173)</x:f>
      </x:c>
      <x:c r="X173" s="36" t="str">
        <x:f>IF(E173="","",E173)</x:f>
      </x:c>
      <x:c r="Y173" s="36" t="str">
        <x:f>IF(F173="","",F173)</x:f>
      </x:c>
      <x:c r="Z173" s="36" t="str">
        <x:f>IF(G173="","",G173)</x:f>
      </x:c>
      <x:c r="AA173" s="36" t="str">
        <x:f>IF(OR(Y173="",Z173=""),"",Y173-Z173)</x:f>
      </x:c>
      <x:c r="AB173" s="52" t="str">
        <x:f>IF(OR(Y173="",Z173=""),"",IFERROR(Z173/Y173,0))</x:f>
      </x:c>
      <x:c r="AC173" s="36" t="str">
        <x:f>IF(H173="","",H173)</x:f>
      </x:c>
      <x:c r="AD173" s="132" t="str">
        <x:f>IF(I173="","",I173)</x:f>
      </x:c>
      <x:c r="AE173" s="36" t="str">
        <x:f>IF(J173="","",J173)</x:f>
      </x:c>
      <x:c r="AF173" s="36" t="str">
        <x:f>IF(K173="","",K173)</x:f>
      </x:c>
      <x:c r="AG173" s="36" t="str">
        <x:f>IF(L173="","",L173)</x:f>
      </x:c>
      <x:c r="AH173" s="36" t="str">
        <x:f>IF(M173="","",M173)</x:f>
      </x:c>
      <x:c r="AI173" s="36" t="str">
        <x:f>IF(N173="","",N173)</x:f>
      </x:c>
      <x:c r="AJ173" s="36" t="str">
        <x:f>IF(O173="","",O173)</x:f>
      </x:c>
      <x:c r="AK173" s="36" t="str">
        <x:f>IF(P173="","",P173)</x:f>
      </x:c>
      <x:c r="AL173" s="36" t="str">
        <x:f>IF(R173="","",TEXT(R173,"yyyymmddhhmmss")&amp;"-"&amp;S173&amp;"-"&amp;TEXT(ROW()-4,"0000"))</x:f>
      </x:c>
      <x:c r="AM173" s="36" t="str">
        <x:f>IF(R173="","",IF(T173="KOD HATALI","Öğrenci Kodu Hatalı",IF(OR(V173="",W173="",X173="",Y173="",Z173="",AF173="",AG173="",AJ173="",AK173=""),"Eksik Zorunlu Alan",IF(OR(Y173&lt;0,Z173&lt;0,Z173&gt;Y173),"Soru Sayısı Hatası",IF(AND(AD173&lt;&gt;"",AD173&lt;V173),"Ödev Tarihi Hatası",IF(COUNTIF($AL$5:AL173,AL173)&gt;1,"Mükerrer Form Kaydı","Aktarıma Hazır"))))))</x:f>
      </x:c>
      <x:c r="AN173" s="30"/>
      <x:c r="AO173" s="40"/>
      <x:c r="AP173" s="30"/>
    </x:row>
    <x:row r="174">
      <x:c r="A174" s="158"/>
      <x:c r="B174" s="44"/>
      <x:c r="C174" s="40"/>
      <x:c r="D174" s="30"/>
      <x:c r="E174" s="30"/>
      <x:c r="F174" s="30"/>
      <x:c r="G174" s="30"/>
      <x:c r="H174" s="30"/>
      <x:c r="I174" s="40"/>
      <x:c r="J174" s="30"/>
      <x:c r="K174" s="30"/>
      <x:c r="L174" s="30"/>
      <x:c r="M174" s="30"/>
      <x:c r="N174" s="30"/>
      <x:c r="O174" s="30"/>
      <x:c r="P174" s="30"/>
      <x:c r="R174" s="160" t="str">
        <x:f>IF(A174="","",A174)</x:f>
      </x:c>
      <x:c r="S174" s="126" t="str">
        <x:f>IF(B174="","",B174)</x:f>
      </x:c>
      <x:c r="T174" s="36" t="str">
        <x:f>IF(S174="","",IFERROR(INDEX('02_Öğrenciler'!$B$5:$B$203,MATCH(S174,'02_Öğrenciler'!$A$5:$A$203,0)),"KOD HATALI"))</x:f>
      </x:c>
      <x:c r="U174" s="36" t="str">
        <x:f>IF(S174="","",IFERROR(INDEX('02_Öğrenciler'!$C$5:$C$203,MATCH(S174,'02_Öğrenciler'!$A$5:$A$203,0)),""))</x:f>
      </x:c>
      <x:c r="V174" s="132" t="str">
        <x:f>IF(C174="","",C174)</x:f>
      </x:c>
      <x:c r="W174" s="36" t="str">
        <x:f>IF(D174="","",D174)</x:f>
      </x:c>
      <x:c r="X174" s="36" t="str">
        <x:f>IF(E174="","",E174)</x:f>
      </x:c>
      <x:c r="Y174" s="36" t="str">
        <x:f>IF(F174="","",F174)</x:f>
      </x:c>
      <x:c r="Z174" s="36" t="str">
        <x:f>IF(G174="","",G174)</x:f>
      </x:c>
      <x:c r="AA174" s="36" t="str">
        <x:f>IF(OR(Y174="",Z174=""),"",Y174-Z174)</x:f>
      </x:c>
      <x:c r="AB174" s="52" t="str">
        <x:f>IF(OR(Y174="",Z174=""),"",IFERROR(Z174/Y174,0))</x:f>
      </x:c>
      <x:c r="AC174" s="36" t="str">
        <x:f>IF(H174="","",H174)</x:f>
      </x:c>
      <x:c r="AD174" s="132" t="str">
        <x:f>IF(I174="","",I174)</x:f>
      </x:c>
      <x:c r="AE174" s="36" t="str">
        <x:f>IF(J174="","",J174)</x:f>
      </x:c>
      <x:c r="AF174" s="36" t="str">
        <x:f>IF(K174="","",K174)</x:f>
      </x:c>
      <x:c r="AG174" s="36" t="str">
        <x:f>IF(L174="","",L174)</x:f>
      </x:c>
      <x:c r="AH174" s="36" t="str">
        <x:f>IF(M174="","",M174)</x:f>
      </x:c>
      <x:c r="AI174" s="36" t="str">
        <x:f>IF(N174="","",N174)</x:f>
      </x:c>
      <x:c r="AJ174" s="36" t="str">
        <x:f>IF(O174="","",O174)</x:f>
      </x:c>
      <x:c r="AK174" s="36" t="str">
        <x:f>IF(P174="","",P174)</x:f>
      </x:c>
      <x:c r="AL174" s="36" t="str">
        <x:f>IF(R174="","",TEXT(R174,"yyyymmddhhmmss")&amp;"-"&amp;S174&amp;"-"&amp;TEXT(ROW()-4,"0000"))</x:f>
      </x:c>
      <x:c r="AM174" s="36" t="str">
        <x:f>IF(R174="","",IF(T174="KOD HATALI","Öğrenci Kodu Hatalı",IF(OR(V174="",W174="",X174="",Y174="",Z174="",AF174="",AG174="",AJ174="",AK174=""),"Eksik Zorunlu Alan",IF(OR(Y174&lt;0,Z174&lt;0,Z174&gt;Y174),"Soru Sayısı Hatası",IF(AND(AD174&lt;&gt;"",AD174&lt;V174),"Ödev Tarihi Hatası",IF(COUNTIF($AL$5:AL174,AL174)&gt;1,"Mükerrer Form Kaydı","Aktarıma Hazır"))))))</x:f>
      </x:c>
      <x:c r="AN174" s="30"/>
      <x:c r="AO174" s="40"/>
      <x:c r="AP174" s="30"/>
    </x:row>
    <x:row r="175">
      <x:c r="A175" s="158"/>
      <x:c r="B175" s="44"/>
      <x:c r="C175" s="40"/>
      <x:c r="D175" s="30"/>
      <x:c r="E175" s="30"/>
      <x:c r="F175" s="30"/>
      <x:c r="G175" s="30"/>
      <x:c r="H175" s="30"/>
      <x:c r="I175" s="40"/>
      <x:c r="J175" s="30"/>
      <x:c r="K175" s="30"/>
      <x:c r="L175" s="30"/>
      <x:c r="M175" s="30"/>
      <x:c r="N175" s="30"/>
      <x:c r="O175" s="30"/>
      <x:c r="P175" s="30"/>
      <x:c r="R175" s="160" t="str">
        <x:f>IF(A175="","",A175)</x:f>
      </x:c>
      <x:c r="S175" s="126" t="str">
        <x:f>IF(B175="","",B175)</x:f>
      </x:c>
      <x:c r="T175" s="36" t="str">
        <x:f>IF(S175="","",IFERROR(INDEX('02_Öğrenciler'!$B$5:$B$203,MATCH(S175,'02_Öğrenciler'!$A$5:$A$203,0)),"KOD HATALI"))</x:f>
      </x:c>
      <x:c r="U175" s="36" t="str">
        <x:f>IF(S175="","",IFERROR(INDEX('02_Öğrenciler'!$C$5:$C$203,MATCH(S175,'02_Öğrenciler'!$A$5:$A$203,0)),""))</x:f>
      </x:c>
      <x:c r="V175" s="132" t="str">
        <x:f>IF(C175="","",C175)</x:f>
      </x:c>
      <x:c r="W175" s="36" t="str">
        <x:f>IF(D175="","",D175)</x:f>
      </x:c>
      <x:c r="X175" s="36" t="str">
        <x:f>IF(E175="","",E175)</x:f>
      </x:c>
      <x:c r="Y175" s="36" t="str">
        <x:f>IF(F175="","",F175)</x:f>
      </x:c>
      <x:c r="Z175" s="36" t="str">
        <x:f>IF(G175="","",G175)</x:f>
      </x:c>
      <x:c r="AA175" s="36" t="str">
        <x:f>IF(OR(Y175="",Z175=""),"",Y175-Z175)</x:f>
      </x:c>
      <x:c r="AB175" s="52" t="str">
        <x:f>IF(OR(Y175="",Z175=""),"",IFERROR(Z175/Y175,0))</x:f>
      </x:c>
      <x:c r="AC175" s="36" t="str">
        <x:f>IF(H175="","",H175)</x:f>
      </x:c>
      <x:c r="AD175" s="132" t="str">
        <x:f>IF(I175="","",I175)</x:f>
      </x:c>
      <x:c r="AE175" s="36" t="str">
        <x:f>IF(J175="","",J175)</x:f>
      </x:c>
      <x:c r="AF175" s="36" t="str">
        <x:f>IF(K175="","",K175)</x:f>
      </x:c>
      <x:c r="AG175" s="36" t="str">
        <x:f>IF(L175="","",L175)</x:f>
      </x:c>
      <x:c r="AH175" s="36" t="str">
        <x:f>IF(M175="","",M175)</x:f>
      </x:c>
      <x:c r="AI175" s="36" t="str">
        <x:f>IF(N175="","",N175)</x:f>
      </x:c>
      <x:c r="AJ175" s="36" t="str">
        <x:f>IF(O175="","",O175)</x:f>
      </x:c>
      <x:c r="AK175" s="36" t="str">
        <x:f>IF(P175="","",P175)</x:f>
      </x:c>
      <x:c r="AL175" s="36" t="str">
        <x:f>IF(R175="","",TEXT(R175,"yyyymmddhhmmss")&amp;"-"&amp;S175&amp;"-"&amp;TEXT(ROW()-4,"0000"))</x:f>
      </x:c>
      <x:c r="AM175" s="36" t="str">
        <x:f>IF(R175="","",IF(T175="KOD HATALI","Öğrenci Kodu Hatalı",IF(OR(V175="",W175="",X175="",Y175="",Z175="",AF175="",AG175="",AJ175="",AK175=""),"Eksik Zorunlu Alan",IF(OR(Y175&lt;0,Z175&lt;0,Z175&gt;Y175),"Soru Sayısı Hatası",IF(AND(AD175&lt;&gt;"",AD175&lt;V175),"Ödev Tarihi Hatası",IF(COUNTIF($AL$5:AL175,AL175)&gt;1,"Mükerrer Form Kaydı","Aktarıma Hazır"))))))</x:f>
      </x:c>
      <x:c r="AN175" s="30"/>
      <x:c r="AO175" s="40"/>
      <x:c r="AP175" s="30"/>
    </x:row>
    <x:row r="176">
      <x:c r="A176" s="158"/>
      <x:c r="B176" s="44"/>
      <x:c r="C176" s="40"/>
      <x:c r="D176" s="30"/>
      <x:c r="E176" s="30"/>
      <x:c r="F176" s="30"/>
      <x:c r="G176" s="30"/>
      <x:c r="H176" s="30"/>
      <x:c r="I176" s="40"/>
      <x:c r="J176" s="30"/>
      <x:c r="K176" s="30"/>
      <x:c r="L176" s="30"/>
      <x:c r="M176" s="30"/>
      <x:c r="N176" s="30"/>
      <x:c r="O176" s="30"/>
      <x:c r="P176" s="30"/>
      <x:c r="R176" s="160" t="str">
        <x:f>IF(A176="","",A176)</x:f>
      </x:c>
      <x:c r="S176" s="126" t="str">
        <x:f>IF(B176="","",B176)</x:f>
      </x:c>
      <x:c r="T176" s="36" t="str">
        <x:f>IF(S176="","",IFERROR(INDEX('02_Öğrenciler'!$B$5:$B$203,MATCH(S176,'02_Öğrenciler'!$A$5:$A$203,0)),"KOD HATALI"))</x:f>
      </x:c>
      <x:c r="U176" s="36" t="str">
        <x:f>IF(S176="","",IFERROR(INDEX('02_Öğrenciler'!$C$5:$C$203,MATCH(S176,'02_Öğrenciler'!$A$5:$A$203,0)),""))</x:f>
      </x:c>
      <x:c r="V176" s="132" t="str">
        <x:f>IF(C176="","",C176)</x:f>
      </x:c>
      <x:c r="W176" s="36" t="str">
        <x:f>IF(D176="","",D176)</x:f>
      </x:c>
      <x:c r="X176" s="36" t="str">
        <x:f>IF(E176="","",E176)</x:f>
      </x:c>
      <x:c r="Y176" s="36" t="str">
        <x:f>IF(F176="","",F176)</x:f>
      </x:c>
      <x:c r="Z176" s="36" t="str">
        <x:f>IF(G176="","",G176)</x:f>
      </x:c>
      <x:c r="AA176" s="36" t="str">
        <x:f>IF(OR(Y176="",Z176=""),"",Y176-Z176)</x:f>
      </x:c>
      <x:c r="AB176" s="52" t="str">
        <x:f>IF(OR(Y176="",Z176=""),"",IFERROR(Z176/Y176,0))</x:f>
      </x:c>
      <x:c r="AC176" s="36" t="str">
        <x:f>IF(H176="","",H176)</x:f>
      </x:c>
      <x:c r="AD176" s="132" t="str">
        <x:f>IF(I176="","",I176)</x:f>
      </x:c>
      <x:c r="AE176" s="36" t="str">
        <x:f>IF(J176="","",J176)</x:f>
      </x:c>
      <x:c r="AF176" s="36" t="str">
        <x:f>IF(K176="","",K176)</x:f>
      </x:c>
      <x:c r="AG176" s="36" t="str">
        <x:f>IF(L176="","",L176)</x:f>
      </x:c>
      <x:c r="AH176" s="36" t="str">
        <x:f>IF(M176="","",M176)</x:f>
      </x:c>
      <x:c r="AI176" s="36" t="str">
        <x:f>IF(N176="","",N176)</x:f>
      </x:c>
      <x:c r="AJ176" s="36" t="str">
        <x:f>IF(O176="","",O176)</x:f>
      </x:c>
      <x:c r="AK176" s="36" t="str">
        <x:f>IF(P176="","",P176)</x:f>
      </x:c>
      <x:c r="AL176" s="36" t="str">
        <x:f>IF(R176="","",TEXT(R176,"yyyymmddhhmmss")&amp;"-"&amp;S176&amp;"-"&amp;TEXT(ROW()-4,"0000"))</x:f>
      </x:c>
      <x:c r="AM176" s="36" t="str">
        <x:f>IF(R176="","",IF(T176="KOD HATALI","Öğrenci Kodu Hatalı",IF(OR(V176="",W176="",X176="",Y176="",Z176="",AF176="",AG176="",AJ176="",AK176=""),"Eksik Zorunlu Alan",IF(OR(Y176&lt;0,Z176&lt;0,Z176&gt;Y176),"Soru Sayısı Hatası",IF(AND(AD176&lt;&gt;"",AD176&lt;V176),"Ödev Tarihi Hatası",IF(COUNTIF($AL$5:AL176,AL176)&gt;1,"Mükerrer Form Kaydı","Aktarıma Hazır"))))))</x:f>
      </x:c>
      <x:c r="AN176" s="30"/>
      <x:c r="AO176" s="40"/>
      <x:c r="AP176" s="30"/>
    </x:row>
    <x:row r="177">
      <x:c r="A177" s="158"/>
      <x:c r="B177" s="44"/>
      <x:c r="C177" s="40"/>
      <x:c r="D177" s="30"/>
      <x:c r="E177" s="30"/>
      <x:c r="F177" s="30"/>
      <x:c r="G177" s="30"/>
      <x:c r="H177" s="30"/>
      <x:c r="I177" s="40"/>
      <x:c r="J177" s="30"/>
      <x:c r="K177" s="30"/>
      <x:c r="L177" s="30"/>
      <x:c r="M177" s="30"/>
      <x:c r="N177" s="30"/>
      <x:c r="O177" s="30"/>
      <x:c r="P177" s="30"/>
      <x:c r="R177" s="160" t="str">
        <x:f>IF(A177="","",A177)</x:f>
      </x:c>
      <x:c r="S177" s="126" t="str">
        <x:f>IF(B177="","",B177)</x:f>
      </x:c>
      <x:c r="T177" s="36" t="str">
        <x:f>IF(S177="","",IFERROR(INDEX('02_Öğrenciler'!$B$5:$B$203,MATCH(S177,'02_Öğrenciler'!$A$5:$A$203,0)),"KOD HATALI"))</x:f>
      </x:c>
      <x:c r="U177" s="36" t="str">
        <x:f>IF(S177="","",IFERROR(INDEX('02_Öğrenciler'!$C$5:$C$203,MATCH(S177,'02_Öğrenciler'!$A$5:$A$203,0)),""))</x:f>
      </x:c>
      <x:c r="V177" s="132" t="str">
        <x:f>IF(C177="","",C177)</x:f>
      </x:c>
      <x:c r="W177" s="36" t="str">
        <x:f>IF(D177="","",D177)</x:f>
      </x:c>
      <x:c r="X177" s="36" t="str">
        <x:f>IF(E177="","",E177)</x:f>
      </x:c>
      <x:c r="Y177" s="36" t="str">
        <x:f>IF(F177="","",F177)</x:f>
      </x:c>
      <x:c r="Z177" s="36" t="str">
        <x:f>IF(G177="","",G177)</x:f>
      </x:c>
      <x:c r="AA177" s="36" t="str">
        <x:f>IF(OR(Y177="",Z177=""),"",Y177-Z177)</x:f>
      </x:c>
      <x:c r="AB177" s="52" t="str">
        <x:f>IF(OR(Y177="",Z177=""),"",IFERROR(Z177/Y177,0))</x:f>
      </x:c>
      <x:c r="AC177" s="36" t="str">
        <x:f>IF(H177="","",H177)</x:f>
      </x:c>
      <x:c r="AD177" s="132" t="str">
        <x:f>IF(I177="","",I177)</x:f>
      </x:c>
      <x:c r="AE177" s="36" t="str">
        <x:f>IF(J177="","",J177)</x:f>
      </x:c>
      <x:c r="AF177" s="36" t="str">
        <x:f>IF(K177="","",K177)</x:f>
      </x:c>
      <x:c r="AG177" s="36" t="str">
        <x:f>IF(L177="","",L177)</x:f>
      </x:c>
      <x:c r="AH177" s="36" t="str">
        <x:f>IF(M177="","",M177)</x:f>
      </x:c>
      <x:c r="AI177" s="36" t="str">
        <x:f>IF(N177="","",N177)</x:f>
      </x:c>
      <x:c r="AJ177" s="36" t="str">
        <x:f>IF(O177="","",O177)</x:f>
      </x:c>
      <x:c r="AK177" s="36" t="str">
        <x:f>IF(P177="","",P177)</x:f>
      </x:c>
      <x:c r="AL177" s="36" t="str">
        <x:f>IF(R177="","",TEXT(R177,"yyyymmddhhmmss")&amp;"-"&amp;S177&amp;"-"&amp;TEXT(ROW()-4,"0000"))</x:f>
      </x:c>
      <x:c r="AM177" s="36" t="str">
        <x:f>IF(R177="","",IF(T177="KOD HATALI","Öğrenci Kodu Hatalı",IF(OR(V177="",W177="",X177="",Y177="",Z177="",AF177="",AG177="",AJ177="",AK177=""),"Eksik Zorunlu Alan",IF(OR(Y177&lt;0,Z177&lt;0,Z177&gt;Y177),"Soru Sayısı Hatası",IF(AND(AD177&lt;&gt;"",AD177&lt;V177),"Ödev Tarihi Hatası",IF(COUNTIF($AL$5:AL177,AL177)&gt;1,"Mükerrer Form Kaydı","Aktarıma Hazır"))))))</x:f>
      </x:c>
      <x:c r="AN177" s="30"/>
      <x:c r="AO177" s="40"/>
      <x:c r="AP177" s="30"/>
    </x:row>
    <x:row r="178">
      <x:c r="A178" s="158"/>
      <x:c r="B178" s="44"/>
      <x:c r="C178" s="40"/>
      <x:c r="D178" s="30"/>
      <x:c r="E178" s="30"/>
      <x:c r="F178" s="30"/>
      <x:c r="G178" s="30"/>
      <x:c r="H178" s="30"/>
      <x:c r="I178" s="40"/>
      <x:c r="J178" s="30"/>
      <x:c r="K178" s="30"/>
      <x:c r="L178" s="30"/>
      <x:c r="M178" s="30"/>
      <x:c r="N178" s="30"/>
      <x:c r="O178" s="30"/>
      <x:c r="P178" s="30"/>
      <x:c r="R178" s="160" t="str">
        <x:f>IF(A178="","",A178)</x:f>
      </x:c>
      <x:c r="S178" s="126" t="str">
        <x:f>IF(B178="","",B178)</x:f>
      </x:c>
      <x:c r="T178" s="36" t="str">
        <x:f>IF(S178="","",IFERROR(INDEX('02_Öğrenciler'!$B$5:$B$203,MATCH(S178,'02_Öğrenciler'!$A$5:$A$203,0)),"KOD HATALI"))</x:f>
      </x:c>
      <x:c r="U178" s="36" t="str">
        <x:f>IF(S178="","",IFERROR(INDEX('02_Öğrenciler'!$C$5:$C$203,MATCH(S178,'02_Öğrenciler'!$A$5:$A$203,0)),""))</x:f>
      </x:c>
      <x:c r="V178" s="132" t="str">
        <x:f>IF(C178="","",C178)</x:f>
      </x:c>
      <x:c r="W178" s="36" t="str">
        <x:f>IF(D178="","",D178)</x:f>
      </x:c>
      <x:c r="X178" s="36" t="str">
        <x:f>IF(E178="","",E178)</x:f>
      </x:c>
      <x:c r="Y178" s="36" t="str">
        <x:f>IF(F178="","",F178)</x:f>
      </x:c>
      <x:c r="Z178" s="36" t="str">
        <x:f>IF(G178="","",G178)</x:f>
      </x:c>
      <x:c r="AA178" s="36" t="str">
        <x:f>IF(OR(Y178="",Z178=""),"",Y178-Z178)</x:f>
      </x:c>
      <x:c r="AB178" s="52" t="str">
        <x:f>IF(OR(Y178="",Z178=""),"",IFERROR(Z178/Y178,0))</x:f>
      </x:c>
      <x:c r="AC178" s="36" t="str">
        <x:f>IF(H178="","",H178)</x:f>
      </x:c>
      <x:c r="AD178" s="132" t="str">
        <x:f>IF(I178="","",I178)</x:f>
      </x:c>
      <x:c r="AE178" s="36" t="str">
        <x:f>IF(J178="","",J178)</x:f>
      </x:c>
      <x:c r="AF178" s="36" t="str">
        <x:f>IF(K178="","",K178)</x:f>
      </x:c>
      <x:c r="AG178" s="36" t="str">
        <x:f>IF(L178="","",L178)</x:f>
      </x:c>
      <x:c r="AH178" s="36" t="str">
        <x:f>IF(M178="","",M178)</x:f>
      </x:c>
      <x:c r="AI178" s="36" t="str">
        <x:f>IF(N178="","",N178)</x:f>
      </x:c>
      <x:c r="AJ178" s="36" t="str">
        <x:f>IF(O178="","",O178)</x:f>
      </x:c>
      <x:c r="AK178" s="36" t="str">
        <x:f>IF(P178="","",P178)</x:f>
      </x:c>
      <x:c r="AL178" s="36" t="str">
        <x:f>IF(R178="","",TEXT(R178,"yyyymmddhhmmss")&amp;"-"&amp;S178&amp;"-"&amp;TEXT(ROW()-4,"0000"))</x:f>
      </x:c>
      <x:c r="AM178" s="36" t="str">
        <x:f>IF(R178="","",IF(T178="KOD HATALI","Öğrenci Kodu Hatalı",IF(OR(V178="",W178="",X178="",Y178="",Z178="",AF178="",AG178="",AJ178="",AK178=""),"Eksik Zorunlu Alan",IF(OR(Y178&lt;0,Z178&lt;0,Z178&gt;Y178),"Soru Sayısı Hatası",IF(AND(AD178&lt;&gt;"",AD178&lt;V178),"Ödev Tarihi Hatası",IF(COUNTIF($AL$5:AL178,AL178)&gt;1,"Mükerrer Form Kaydı","Aktarıma Hazır"))))))</x:f>
      </x:c>
      <x:c r="AN178" s="30"/>
      <x:c r="AO178" s="40"/>
      <x:c r="AP178" s="30"/>
    </x:row>
    <x:row r="179">
      <x:c r="A179" s="158"/>
      <x:c r="B179" s="44"/>
      <x:c r="C179" s="40"/>
      <x:c r="D179" s="30"/>
      <x:c r="E179" s="30"/>
      <x:c r="F179" s="30"/>
      <x:c r="G179" s="30"/>
      <x:c r="H179" s="30"/>
      <x:c r="I179" s="40"/>
      <x:c r="J179" s="30"/>
      <x:c r="K179" s="30"/>
      <x:c r="L179" s="30"/>
      <x:c r="M179" s="30"/>
      <x:c r="N179" s="30"/>
      <x:c r="O179" s="30"/>
      <x:c r="P179" s="30"/>
      <x:c r="R179" s="160" t="str">
        <x:f>IF(A179="","",A179)</x:f>
      </x:c>
      <x:c r="S179" s="126" t="str">
        <x:f>IF(B179="","",B179)</x:f>
      </x:c>
      <x:c r="T179" s="36" t="str">
        <x:f>IF(S179="","",IFERROR(INDEX('02_Öğrenciler'!$B$5:$B$203,MATCH(S179,'02_Öğrenciler'!$A$5:$A$203,0)),"KOD HATALI"))</x:f>
      </x:c>
      <x:c r="U179" s="36" t="str">
        <x:f>IF(S179="","",IFERROR(INDEX('02_Öğrenciler'!$C$5:$C$203,MATCH(S179,'02_Öğrenciler'!$A$5:$A$203,0)),""))</x:f>
      </x:c>
      <x:c r="V179" s="132" t="str">
        <x:f>IF(C179="","",C179)</x:f>
      </x:c>
      <x:c r="W179" s="36" t="str">
        <x:f>IF(D179="","",D179)</x:f>
      </x:c>
      <x:c r="X179" s="36" t="str">
        <x:f>IF(E179="","",E179)</x:f>
      </x:c>
      <x:c r="Y179" s="36" t="str">
        <x:f>IF(F179="","",F179)</x:f>
      </x:c>
      <x:c r="Z179" s="36" t="str">
        <x:f>IF(G179="","",G179)</x:f>
      </x:c>
      <x:c r="AA179" s="36" t="str">
        <x:f>IF(OR(Y179="",Z179=""),"",Y179-Z179)</x:f>
      </x:c>
      <x:c r="AB179" s="52" t="str">
        <x:f>IF(OR(Y179="",Z179=""),"",IFERROR(Z179/Y179,0))</x:f>
      </x:c>
      <x:c r="AC179" s="36" t="str">
        <x:f>IF(H179="","",H179)</x:f>
      </x:c>
      <x:c r="AD179" s="132" t="str">
        <x:f>IF(I179="","",I179)</x:f>
      </x:c>
      <x:c r="AE179" s="36" t="str">
        <x:f>IF(J179="","",J179)</x:f>
      </x:c>
      <x:c r="AF179" s="36" t="str">
        <x:f>IF(K179="","",K179)</x:f>
      </x:c>
      <x:c r="AG179" s="36" t="str">
        <x:f>IF(L179="","",L179)</x:f>
      </x:c>
      <x:c r="AH179" s="36" t="str">
        <x:f>IF(M179="","",M179)</x:f>
      </x:c>
      <x:c r="AI179" s="36" t="str">
        <x:f>IF(N179="","",N179)</x:f>
      </x:c>
      <x:c r="AJ179" s="36" t="str">
        <x:f>IF(O179="","",O179)</x:f>
      </x:c>
      <x:c r="AK179" s="36" t="str">
        <x:f>IF(P179="","",P179)</x:f>
      </x:c>
      <x:c r="AL179" s="36" t="str">
        <x:f>IF(R179="","",TEXT(R179,"yyyymmddhhmmss")&amp;"-"&amp;S179&amp;"-"&amp;TEXT(ROW()-4,"0000"))</x:f>
      </x:c>
      <x:c r="AM179" s="36" t="str">
        <x:f>IF(R179="","",IF(T179="KOD HATALI","Öğrenci Kodu Hatalı",IF(OR(V179="",W179="",X179="",Y179="",Z179="",AF179="",AG179="",AJ179="",AK179=""),"Eksik Zorunlu Alan",IF(OR(Y179&lt;0,Z179&lt;0,Z179&gt;Y179),"Soru Sayısı Hatası",IF(AND(AD179&lt;&gt;"",AD179&lt;V179),"Ödev Tarihi Hatası",IF(COUNTIF($AL$5:AL179,AL179)&gt;1,"Mükerrer Form Kaydı","Aktarıma Hazır"))))))</x:f>
      </x:c>
      <x:c r="AN179" s="30"/>
      <x:c r="AO179" s="40"/>
      <x:c r="AP179" s="30"/>
    </x:row>
    <x:row r="180">
      <x:c r="A180" s="158"/>
      <x:c r="B180" s="44"/>
      <x:c r="C180" s="40"/>
      <x:c r="D180" s="30"/>
      <x:c r="E180" s="30"/>
      <x:c r="F180" s="30"/>
      <x:c r="G180" s="30"/>
      <x:c r="H180" s="30"/>
      <x:c r="I180" s="40"/>
      <x:c r="J180" s="30"/>
      <x:c r="K180" s="30"/>
      <x:c r="L180" s="30"/>
      <x:c r="M180" s="30"/>
      <x:c r="N180" s="30"/>
      <x:c r="O180" s="30"/>
      <x:c r="P180" s="30"/>
      <x:c r="R180" s="160" t="str">
        <x:f>IF(A180="","",A180)</x:f>
      </x:c>
      <x:c r="S180" s="126" t="str">
        <x:f>IF(B180="","",B180)</x:f>
      </x:c>
      <x:c r="T180" s="36" t="str">
        <x:f>IF(S180="","",IFERROR(INDEX('02_Öğrenciler'!$B$5:$B$203,MATCH(S180,'02_Öğrenciler'!$A$5:$A$203,0)),"KOD HATALI"))</x:f>
      </x:c>
      <x:c r="U180" s="36" t="str">
        <x:f>IF(S180="","",IFERROR(INDEX('02_Öğrenciler'!$C$5:$C$203,MATCH(S180,'02_Öğrenciler'!$A$5:$A$203,0)),""))</x:f>
      </x:c>
      <x:c r="V180" s="132" t="str">
        <x:f>IF(C180="","",C180)</x:f>
      </x:c>
      <x:c r="W180" s="36" t="str">
        <x:f>IF(D180="","",D180)</x:f>
      </x:c>
      <x:c r="X180" s="36" t="str">
        <x:f>IF(E180="","",E180)</x:f>
      </x:c>
      <x:c r="Y180" s="36" t="str">
        <x:f>IF(F180="","",F180)</x:f>
      </x:c>
      <x:c r="Z180" s="36" t="str">
        <x:f>IF(G180="","",G180)</x:f>
      </x:c>
      <x:c r="AA180" s="36" t="str">
        <x:f>IF(OR(Y180="",Z180=""),"",Y180-Z180)</x:f>
      </x:c>
      <x:c r="AB180" s="52" t="str">
        <x:f>IF(OR(Y180="",Z180=""),"",IFERROR(Z180/Y180,0))</x:f>
      </x:c>
      <x:c r="AC180" s="36" t="str">
        <x:f>IF(H180="","",H180)</x:f>
      </x:c>
      <x:c r="AD180" s="132" t="str">
        <x:f>IF(I180="","",I180)</x:f>
      </x:c>
      <x:c r="AE180" s="36" t="str">
        <x:f>IF(J180="","",J180)</x:f>
      </x:c>
      <x:c r="AF180" s="36" t="str">
        <x:f>IF(K180="","",K180)</x:f>
      </x:c>
      <x:c r="AG180" s="36" t="str">
        <x:f>IF(L180="","",L180)</x:f>
      </x:c>
      <x:c r="AH180" s="36" t="str">
        <x:f>IF(M180="","",M180)</x:f>
      </x:c>
      <x:c r="AI180" s="36" t="str">
        <x:f>IF(N180="","",N180)</x:f>
      </x:c>
      <x:c r="AJ180" s="36" t="str">
        <x:f>IF(O180="","",O180)</x:f>
      </x:c>
      <x:c r="AK180" s="36" t="str">
        <x:f>IF(P180="","",P180)</x:f>
      </x:c>
      <x:c r="AL180" s="36" t="str">
        <x:f>IF(R180="","",TEXT(R180,"yyyymmddhhmmss")&amp;"-"&amp;S180&amp;"-"&amp;TEXT(ROW()-4,"0000"))</x:f>
      </x:c>
      <x:c r="AM180" s="36" t="str">
        <x:f>IF(R180="","",IF(T180="KOD HATALI","Öğrenci Kodu Hatalı",IF(OR(V180="",W180="",X180="",Y180="",Z180="",AF180="",AG180="",AJ180="",AK180=""),"Eksik Zorunlu Alan",IF(OR(Y180&lt;0,Z180&lt;0,Z180&gt;Y180),"Soru Sayısı Hatası",IF(AND(AD180&lt;&gt;"",AD180&lt;V180),"Ödev Tarihi Hatası",IF(COUNTIF($AL$5:AL180,AL180)&gt;1,"Mükerrer Form Kaydı","Aktarıma Hazır"))))))</x:f>
      </x:c>
      <x:c r="AN180" s="30"/>
      <x:c r="AO180" s="40"/>
      <x:c r="AP180" s="30"/>
    </x:row>
    <x:row r="181">
      <x:c r="A181" s="158"/>
      <x:c r="B181" s="44"/>
      <x:c r="C181" s="40"/>
      <x:c r="D181" s="30"/>
      <x:c r="E181" s="30"/>
      <x:c r="F181" s="30"/>
      <x:c r="G181" s="30"/>
      <x:c r="H181" s="30"/>
      <x:c r="I181" s="40"/>
      <x:c r="J181" s="30"/>
      <x:c r="K181" s="30"/>
      <x:c r="L181" s="30"/>
      <x:c r="M181" s="30"/>
      <x:c r="N181" s="30"/>
      <x:c r="O181" s="30"/>
      <x:c r="P181" s="30"/>
      <x:c r="R181" s="160" t="str">
        <x:f>IF(A181="","",A181)</x:f>
      </x:c>
      <x:c r="S181" s="126" t="str">
        <x:f>IF(B181="","",B181)</x:f>
      </x:c>
      <x:c r="T181" s="36" t="str">
        <x:f>IF(S181="","",IFERROR(INDEX('02_Öğrenciler'!$B$5:$B$203,MATCH(S181,'02_Öğrenciler'!$A$5:$A$203,0)),"KOD HATALI"))</x:f>
      </x:c>
      <x:c r="U181" s="36" t="str">
        <x:f>IF(S181="","",IFERROR(INDEX('02_Öğrenciler'!$C$5:$C$203,MATCH(S181,'02_Öğrenciler'!$A$5:$A$203,0)),""))</x:f>
      </x:c>
      <x:c r="V181" s="132" t="str">
        <x:f>IF(C181="","",C181)</x:f>
      </x:c>
      <x:c r="W181" s="36" t="str">
        <x:f>IF(D181="","",D181)</x:f>
      </x:c>
      <x:c r="X181" s="36" t="str">
        <x:f>IF(E181="","",E181)</x:f>
      </x:c>
      <x:c r="Y181" s="36" t="str">
        <x:f>IF(F181="","",F181)</x:f>
      </x:c>
      <x:c r="Z181" s="36" t="str">
        <x:f>IF(G181="","",G181)</x:f>
      </x:c>
      <x:c r="AA181" s="36" t="str">
        <x:f>IF(OR(Y181="",Z181=""),"",Y181-Z181)</x:f>
      </x:c>
      <x:c r="AB181" s="52" t="str">
        <x:f>IF(OR(Y181="",Z181=""),"",IFERROR(Z181/Y181,0))</x:f>
      </x:c>
      <x:c r="AC181" s="36" t="str">
        <x:f>IF(H181="","",H181)</x:f>
      </x:c>
      <x:c r="AD181" s="132" t="str">
        <x:f>IF(I181="","",I181)</x:f>
      </x:c>
      <x:c r="AE181" s="36" t="str">
        <x:f>IF(J181="","",J181)</x:f>
      </x:c>
      <x:c r="AF181" s="36" t="str">
        <x:f>IF(K181="","",K181)</x:f>
      </x:c>
      <x:c r="AG181" s="36" t="str">
        <x:f>IF(L181="","",L181)</x:f>
      </x:c>
      <x:c r="AH181" s="36" t="str">
        <x:f>IF(M181="","",M181)</x:f>
      </x:c>
      <x:c r="AI181" s="36" t="str">
        <x:f>IF(N181="","",N181)</x:f>
      </x:c>
      <x:c r="AJ181" s="36" t="str">
        <x:f>IF(O181="","",O181)</x:f>
      </x:c>
      <x:c r="AK181" s="36" t="str">
        <x:f>IF(P181="","",P181)</x:f>
      </x:c>
      <x:c r="AL181" s="36" t="str">
        <x:f>IF(R181="","",TEXT(R181,"yyyymmddhhmmss")&amp;"-"&amp;S181&amp;"-"&amp;TEXT(ROW()-4,"0000"))</x:f>
      </x:c>
      <x:c r="AM181" s="36" t="str">
        <x:f>IF(R181="","",IF(T181="KOD HATALI","Öğrenci Kodu Hatalı",IF(OR(V181="",W181="",X181="",Y181="",Z181="",AF181="",AG181="",AJ181="",AK181=""),"Eksik Zorunlu Alan",IF(OR(Y181&lt;0,Z181&lt;0,Z181&gt;Y181),"Soru Sayısı Hatası",IF(AND(AD181&lt;&gt;"",AD181&lt;V181),"Ödev Tarihi Hatası",IF(COUNTIF($AL$5:AL181,AL181)&gt;1,"Mükerrer Form Kaydı","Aktarıma Hazır"))))))</x:f>
      </x:c>
      <x:c r="AN181" s="30"/>
      <x:c r="AO181" s="40"/>
      <x:c r="AP181" s="30"/>
    </x:row>
    <x:row r="182">
      <x:c r="A182" s="158"/>
      <x:c r="B182" s="44"/>
      <x:c r="C182" s="40"/>
      <x:c r="D182" s="30"/>
      <x:c r="E182" s="30"/>
      <x:c r="F182" s="30"/>
      <x:c r="G182" s="30"/>
      <x:c r="H182" s="30"/>
      <x:c r="I182" s="40"/>
      <x:c r="J182" s="30"/>
      <x:c r="K182" s="30"/>
      <x:c r="L182" s="30"/>
      <x:c r="M182" s="30"/>
      <x:c r="N182" s="30"/>
      <x:c r="O182" s="30"/>
      <x:c r="P182" s="30"/>
      <x:c r="R182" s="160" t="str">
        <x:f>IF(A182="","",A182)</x:f>
      </x:c>
      <x:c r="S182" s="126" t="str">
        <x:f>IF(B182="","",B182)</x:f>
      </x:c>
      <x:c r="T182" s="36" t="str">
        <x:f>IF(S182="","",IFERROR(INDEX('02_Öğrenciler'!$B$5:$B$203,MATCH(S182,'02_Öğrenciler'!$A$5:$A$203,0)),"KOD HATALI"))</x:f>
      </x:c>
      <x:c r="U182" s="36" t="str">
        <x:f>IF(S182="","",IFERROR(INDEX('02_Öğrenciler'!$C$5:$C$203,MATCH(S182,'02_Öğrenciler'!$A$5:$A$203,0)),""))</x:f>
      </x:c>
      <x:c r="V182" s="132" t="str">
        <x:f>IF(C182="","",C182)</x:f>
      </x:c>
      <x:c r="W182" s="36" t="str">
        <x:f>IF(D182="","",D182)</x:f>
      </x:c>
      <x:c r="X182" s="36" t="str">
        <x:f>IF(E182="","",E182)</x:f>
      </x:c>
      <x:c r="Y182" s="36" t="str">
        <x:f>IF(F182="","",F182)</x:f>
      </x:c>
      <x:c r="Z182" s="36" t="str">
        <x:f>IF(G182="","",G182)</x:f>
      </x:c>
      <x:c r="AA182" s="36" t="str">
        <x:f>IF(OR(Y182="",Z182=""),"",Y182-Z182)</x:f>
      </x:c>
      <x:c r="AB182" s="52" t="str">
        <x:f>IF(OR(Y182="",Z182=""),"",IFERROR(Z182/Y182,0))</x:f>
      </x:c>
      <x:c r="AC182" s="36" t="str">
        <x:f>IF(H182="","",H182)</x:f>
      </x:c>
      <x:c r="AD182" s="132" t="str">
        <x:f>IF(I182="","",I182)</x:f>
      </x:c>
      <x:c r="AE182" s="36" t="str">
        <x:f>IF(J182="","",J182)</x:f>
      </x:c>
      <x:c r="AF182" s="36" t="str">
        <x:f>IF(K182="","",K182)</x:f>
      </x:c>
      <x:c r="AG182" s="36" t="str">
        <x:f>IF(L182="","",L182)</x:f>
      </x:c>
      <x:c r="AH182" s="36" t="str">
        <x:f>IF(M182="","",M182)</x:f>
      </x:c>
      <x:c r="AI182" s="36" t="str">
        <x:f>IF(N182="","",N182)</x:f>
      </x:c>
      <x:c r="AJ182" s="36" t="str">
        <x:f>IF(O182="","",O182)</x:f>
      </x:c>
      <x:c r="AK182" s="36" t="str">
        <x:f>IF(P182="","",P182)</x:f>
      </x:c>
      <x:c r="AL182" s="36" t="str">
        <x:f>IF(R182="","",TEXT(R182,"yyyymmddhhmmss")&amp;"-"&amp;S182&amp;"-"&amp;TEXT(ROW()-4,"0000"))</x:f>
      </x:c>
      <x:c r="AM182" s="36" t="str">
        <x:f>IF(R182="","",IF(T182="KOD HATALI","Öğrenci Kodu Hatalı",IF(OR(V182="",W182="",X182="",Y182="",Z182="",AF182="",AG182="",AJ182="",AK182=""),"Eksik Zorunlu Alan",IF(OR(Y182&lt;0,Z182&lt;0,Z182&gt;Y182),"Soru Sayısı Hatası",IF(AND(AD182&lt;&gt;"",AD182&lt;V182),"Ödev Tarihi Hatası",IF(COUNTIF($AL$5:AL182,AL182)&gt;1,"Mükerrer Form Kaydı","Aktarıma Hazır"))))))</x:f>
      </x:c>
      <x:c r="AN182" s="30"/>
      <x:c r="AO182" s="40"/>
      <x:c r="AP182" s="30"/>
    </x:row>
    <x:row r="183">
      <x:c r="A183" s="158"/>
      <x:c r="B183" s="44"/>
      <x:c r="C183" s="40"/>
      <x:c r="D183" s="30"/>
      <x:c r="E183" s="30"/>
      <x:c r="F183" s="30"/>
      <x:c r="G183" s="30"/>
      <x:c r="H183" s="30"/>
      <x:c r="I183" s="40"/>
      <x:c r="J183" s="30"/>
      <x:c r="K183" s="30"/>
      <x:c r="L183" s="30"/>
      <x:c r="M183" s="30"/>
      <x:c r="N183" s="30"/>
      <x:c r="O183" s="30"/>
      <x:c r="P183" s="30"/>
      <x:c r="R183" s="160" t="str">
        <x:f>IF(A183="","",A183)</x:f>
      </x:c>
      <x:c r="S183" s="126" t="str">
        <x:f>IF(B183="","",B183)</x:f>
      </x:c>
      <x:c r="T183" s="36" t="str">
        <x:f>IF(S183="","",IFERROR(INDEX('02_Öğrenciler'!$B$5:$B$203,MATCH(S183,'02_Öğrenciler'!$A$5:$A$203,0)),"KOD HATALI"))</x:f>
      </x:c>
      <x:c r="U183" s="36" t="str">
        <x:f>IF(S183="","",IFERROR(INDEX('02_Öğrenciler'!$C$5:$C$203,MATCH(S183,'02_Öğrenciler'!$A$5:$A$203,0)),""))</x:f>
      </x:c>
      <x:c r="V183" s="132" t="str">
        <x:f>IF(C183="","",C183)</x:f>
      </x:c>
      <x:c r="W183" s="36" t="str">
        <x:f>IF(D183="","",D183)</x:f>
      </x:c>
      <x:c r="X183" s="36" t="str">
        <x:f>IF(E183="","",E183)</x:f>
      </x:c>
      <x:c r="Y183" s="36" t="str">
        <x:f>IF(F183="","",F183)</x:f>
      </x:c>
      <x:c r="Z183" s="36" t="str">
        <x:f>IF(G183="","",G183)</x:f>
      </x:c>
      <x:c r="AA183" s="36" t="str">
        <x:f>IF(OR(Y183="",Z183=""),"",Y183-Z183)</x:f>
      </x:c>
      <x:c r="AB183" s="52" t="str">
        <x:f>IF(OR(Y183="",Z183=""),"",IFERROR(Z183/Y183,0))</x:f>
      </x:c>
      <x:c r="AC183" s="36" t="str">
        <x:f>IF(H183="","",H183)</x:f>
      </x:c>
      <x:c r="AD183" s="132" t="str">
        <x:f>IF(I183="","",I183)</x:f>
      </x:c>
      <x:c r="AE183" s="36" t="str">
        <x:f>IF(J183="","",J183)</x:f>
      </x:c>
      <x:c r="AF183" s="36" t="str">
        <x:f>IF(K183="","",K183)</x:f>
      </x:c>
      <x:c r="AG183" s="36" t="str">
        <x:f>IF(L183="","",L183)</x:f>
      </x:c>
      <x:c r="AH183" s="36" t="str">
        <x:f>IF(M183="","",M183)</x:f>
      </x:c>
      <x:c r="AI183" s="36" t="str">
        <x:f>IF(N183="","",N183)</x:f>
      </x:c>
      <x:c r="AJ183" s="36" t="str">
        <x:f>IF(O183="","",O183)</x:f>
      </x:c>
      <x:c r="AK183" s="36" t="str">
        <x:f>IF(P183="","",P183)</x:f>
      </x:c>
      <x:c r="AL183" s="36" t="str">
        <x:f>IF(R183="","",TEXT(R183,"yyyymmddhhmmss")&amp;"-"&amp;S183&amp;"-"&amp;TEXT(ROW()-4,"0000"))</x:f>
      </x:c>
      <x:c r="AM183" s="36" t="str">
        <x:f>IF(R183="","",IF(T183="KOD HATALI","Öğrenci Kodu Hatalı",IF(OR(V183="",W183="",X183="",Y183="",Z183="",AF183="",AG183="",AJ183="",AK183=""),"Eksik Zorunlu Alan",IF(OR(Y183&lt;0,Z183&lt;0,Z183&gt;Y183),"Soru Sayısı Hatası",IF(AND(AD183&lt;&gt;"",AD183&lt;V183),"Ödev Tarihi Hatası",IF(COUNTIF($AL$5:AL183,AL183)&gt;1,"Mükerrer Form Kaydı","Aktarıma Hazır"))))))</x:f>
      </x:c>
      <x:c r="AN183" s="30"/>
      <x:c r="AO183" s="40"/>
      <x:c r="AP183" s="30"/>
    </x:row>
    <x:row r="184">
      <x:c r="A184" s="158"/>
      <x:c r="B184" s="44"/>
      <x:c r="C184" s="40"/>
      <x:c r="D184" s="30"/>
      <x:c r="E184" s="30"/>
      <x:c r="F184" s="30"/>
      <x:c r="G184" s="30"/>
      <x:c r="H184" s="30"/>
      <x:c r="I184" s="40"/>
      <x:c r="J184" s="30"/>
      <x:c r="K184" s="30"/>
      <x:c r="L184" s="30"/>
      <x:c r="M184" s="30"/>
      <x:c r="N184" s="30"/>
      <x:c r="O184" s="30"/>
      <x:c r="P184" s="30"/>
      <x:c r="R184" s="160" t="str">
        <x:f>IF(A184="","",A184)</x:f>
      </x:c>
      <x:c r="S184" s="126" t="str">
        <x:f>IF(B184="","",B184)</x:f>
      </x:c>
      <x:c r="T184" s="36" t="str">
        <x:f>IF(S184="","",IFERROR(INDEX('02_Öğrenciler'!$B$5:$B$203,MATCH(S184,'02_Öğrenciler'!$A$5:$A$203,0)),"KOD HATALI"))</x:f>
      </x:c>
      <x:c r="U184" s="36" t="str">
        <x:f>IF(S184="","",IFERROR(INDEX('02_Öğrenciler'!$C$5:$C$203,MATCH(S184,'02_Öğrenciler'!$A$5:$A$203,0)),""))</x:f>
      </x:c>
      <x:c r="V184" s="132" t="str">
        <x:f>IF(C184="","",C184)</x:f>
      </x:c>
      <x:c r="W184" s="36" t="str">
        <x:f>IF(D184="","",D184)</x:f>
      </x:c>
      <x:c r="X184" s="36" t="str">
        <x:f>IF(E184="","",E184)</x:f>
      </x:c>
      <x:c r="Y184" s="36" t="str">
        <x:f>IF(F184="","",F184)</x:f>
      </x:c>
      <x:c r="Z184" s="36" t="str">
        <x:f>IF(G184="","",G184)</x:f>
      </x:c>
      <x:c r="AA184" s="36" t="str">
        <x:f>IF(OR(Y184="",Z184=""),"",Y184-Z184)</x:f>
      </x:c>
      <x:c r="AB184" s="52" t="str">
        <x:f>IF(OR(Y184="",Z184=""),"",IFERROR(Z184/Y184,0))</x:f>
      </x:c>
      <x:c r="AC184" s="36" t="str">
        <x:f>IF(H184="","",H184)</x:f>
      </x:c>
      <x:c r="AD184" s="132" t="str">
        <x:f>IF(I184="","",I184)</x:f>
      </x:c>
      <x:c r="AE184" s="36" t="str">
        <x:f>IF(J184="","",J184)</x:f>
      </x:c>
      <x:c r="AF184" s="36" t="str">
        <x:f>IF(K184="","",K184)</x:f>
      </x:c>
      <x:c r="AG184" s="36" t="str">
        <x:f>IF(L184="","",L184)</x:f>
      </x:c>
      <x:c r="AH184" s="36" t="str">
        <x:f>IF(M184="","",M184)</x:f>
      </x:c>
      <x:c r="AI184" s="36" t="str">
        <x:f>IF(N184="","",N184)</x:f>
      </x:c>
      <x:c r="AJ184" s="36" t="str">
        <x:f>IF(O184="","",O184)</x:f>
      </x:c>
      <x:c r="AK184" s="36" t="str">
        <x:f>IF(P184="","",P184)</x:f>
      </x:c>
      <x:c r="AL184" s="36" t="str">
        <x:f>IF(R184="","",TEXT(R184,"yyyymmddhhmmss")&amp;"-"&amp;S184&amp;"-"&amp;TEXT(ROW()-4,"0000"))</x:f>
      </x:c>
      <x:c r="AM184" s="36" t="str">
        <x:f>IF(R184="","",IF(T184="KOD HATALI","Öğrenci Kodu Hatalı",IF(OR(V184="",W184="",X184="",Y184="",Z184="",AF184="",AG184="",AJ184="",AK184=""),"Eksik Zorunlu Alan",IF(OR(Y184&lt;0,Z184&lt;0,Z184&gt;Y184),"Soru Sayısı Hatası",IF(AND(AD184&lt;&gt;"",AD184&lt;V184),"Ödev Tarihi Hatası",IF(COUNTIF($AL$5:AL184,AL184)&gt;1,"Mükerrer Form Kaydı","Aktarıma Hazır"))))))</x:f>
      </x:c>
      <x:c r="AN184" s="30"/>
      <x:c r="AO184" s="40"/>
      <x:c r="AP184" s="30"/>
    </x:row>
    <x:row r="185">
      <x:c r="A185" s="158"/>
      <x:c r="B185" s="44"/>
      <x:c r="C185" s="40"/>
      <x:c r="D185" s="30"/>
      <x:c r="E185" s="30"/>
      <x:c r="F185" s="30"/>
      <x:c r="G185" s="30"/>
      <x:c r="H185" s="30"/>
      <x:c r="I185" s="40"/>
      <x:c r="J185" s="30"/>
      <x:c r="K185" s="30"/>
      <x:c r="L185" s="30"/>
      <x:c r="M185" s="30"/>
      <x:c r="N185" s="30"/>
      <x:c r="O185" s="30"/>
      <x:c r="P185" s="30"/>
      <x:c r="R185" s="160" t="str">
        <x:f>IF(A185="","",A185)</x:f>
      </x:c>
      <x:c r="S185" s="126" t="str">
        <x:f>IF(B185="","",B185)</x:f>
      </x:c>
      <x:c r="T185" s="36" t="str">
        <x:f>IF(S185="","",IFERROR(INDEX('02_Öğrenciler'!$B$5:$B$203,MATCH(S185,'02_Öğrenciler'!$A$5:$A$203,0)),"KOD HATALI"))</x:f>
      </x:c>
      <x:c r="U185" s="36" t="str">
        <x:f>IF(S185="","",IFERROR(INDEX('02_Öğrenciler'!$C$5:$C$203,MATCH(S185,'02_Öğrenciler'!$A$5:$A$203,0)),""))</x:f>
      </x:c>
      <x:c r="V185" s="132" t="str">
        <x:f>IF(C185="","",C185)</x:f>
      </x:c>
      <x:c r="W185" s="36" t="str">
        <x:f>IF(D185="","",D185)</x:f>
      </x:c>
      <x:c r="X185" s="36" t="str">
        <x:f>IF(E185="","",E185)</x:f>
      </x:c>
      <x:c r="Y185" s="36" t="str">
        <x:f>IF(F185="","",F185)</x:f>
      </x:c>
      <x:c r="Z185" s="36" t="str">
        <x:f>IF(G185="","",G185)</x:f>
      </x:c>
      <x:c r="AA185" s="36" t="str">
        <x:f>IF(OR(Y185="",Z185=""),"",Y185-Z185)</x:f>
      </x:c>
      <x:c r="AB185" s="52" t="str">
        <x:f>IF(OR(Y185="",Z185=""),"",IFERROR(Z185/Y185,0))</x:f>
      </x:c>
      <x:c r="AC185" s="36" t="str">
        <x:f>IF(H185="","",H185)</x:f>
      </x:c>
      <x:c r="AD185" s="132" t="str">
        <x:f>IF(I185="","",I185)</x:f>
      </x:c>
      <x:c r="AE185" s="36" t="str">
        <x:f>IF(J185="","",J185)</x:f>
      </x:c>
      <x:c r="AF185" s="36" t="str">
        <x:f>IF(K185="","",K185)</x:f>
      </x:c>
      <x:c r="AG185" s="36" t="str">
        <x:f>IF(L185="","",L185)</x:f>
      </x:c>
      <x:c r="AH185" s="36" t="str">
        <x:f>IF(M185="","",M185)</x:f>
      </x:c>
      <x:c r="AI185" s="36" t="str">
        <x:f>IF(N185="","",N185)</x:f>
      </x:c>
      <x:c r="AJ185" s="36" t="str">
        <x:f>IF(O185="","",O185)</x:f>
      </x:c>
      <x:c r="AK185" s="36" t="str">
        <x:f>IF(P185="","",P185)</x:f>
      </x:c>
      <x:c r="AL185" s="36" t="str">
        <x:f>IF(R185="","",TEXT(R185,"yyyymmddhhmmss")&amp;"-"&amp;S185&amp;"-"&amp;TEXT(ROW()-4,"0000"))</x:f>
      </x:c>
      <x:c r="AM185" s="36" t="str">
        <x:f>IF(R185="","",IF(T185="KOD HATALI","Öğrenci Kodu Hatalı",IF(OR(V185="",W185="",X185="",Y185="",Z185="",AF185="",AG185="",AJ185="",AK185=""),"Eksik Zorunlu Alan",IF(OR(Y185&lt;0,Z185&lt;0,Z185&gt;Y185),"Soru Sayısı Hatası",IF(AND(AD185&lt;&gt;"",AD185&lt;V185),"Ödev Tarihi Hatası",IF(COUNTIF($AL$5:AL185,AL185)&gt;1,"Mükerrer Form Kaydı","Aktarıma Hazır"))))))</x:f>
      </x:c>
      <x:c r="AN185" s="30"/>
      <x:c r="AO185" s="40"/>
      <x:c r="AP185" s="30"/>
    </x:row>
    <x:row r="186">
      <x:c r="A186" s="158"/>
      <x:c r="B186" s="44"/>
      <x:c r="C186" s="40"/>
      <x:c r="D186" s="30"/>
      <x:c r="E186" s="30"/>
      <x:c r="F186" s="30"/>
      <x:c r="G186" s="30"/>
      <x:c r="H186" s="30"/>
      <x:c r="I186" s="40"/>
      <x:c r="J186" s="30"/>
      <x:c r="K186" s="30"/>
      <x:c r="L186" s="30"/>
      <x:c r="M186" s="30"/>
      <x:c r="N186" s="30"/>
      <x:c r="O186" s="30"/>
      <x:c r="P186" s="30"/>
      <x:c r="R186" s="160" t="str">
        <x:f>IF(A186="","",A186)</x:f>
      </x:c>
      <x:c r="S186" s="126" t="str">
        <x:f>IF(B186="","",B186)</x:f>
      </x:c>
      <x:c r="T186" s="36" t="str">
        <x:f>IF(S186="","",IFERROR(INDEX('02_Öğrenciler'!$B$5:$B$203,MATCH(S186,'02_Öğrenciler'!$A$5:$A$203,0)),"KOD HATALI"))</x:f>
      </x:c>
      <x:c r="U186" s="36" t="str">
        <x:f>IF(S186="","",IFERROR(INDEX('02_Öğrenciler'!$C$5:$C$203,MATCH(S186,'02_Öğrenciler'!$A$5:$A$203,0)),""))</x:f>
      </x:c>
      <x:c r="V186" s="132" t="str">
        <x:f>IF(C186="","",C186)</x:f>
      </x:c>
      <x:c r="W186" s="36" t="str">
        <x:f>IF(D186="","",D186)</x:f>
      </x:c>
      <x:c r="X186" s="36" t="str">
        <x:f>IF(E186="","",E186)</x:f>
      </x:c>
      <x:c r="Y186" s="36" t="str">
        <x:f>IF(F186="","",F186)</x:f>
      </x:c>
      <x:c r="Z186" s="36" t="str">
        <x:f>IF(G186="","",G186)</x:f>
      </x:c>
      <x:c r="AA186" s="36" t="str">
        <x:f>IF(OR(Y186="",Z186=""),"",Y186-Z186)</x:f>
      </x:c>
      <x:c r="AB186" s="52" t="str">
        <x:f>IF(OR(Y186="",Z186=""),"",IFERROR(Z186/Y186,0))</x:f>
      </x:c>
      <x:c r="AC186" s="36" t="str">
        <x:f>IF(H186="","",H186)</x:f>
      </x:c>
      <x:c r="AD186" s="132" t="str">
        <x:f>IF(I186="","",I186)</x:f>
      </x:c>
      <x:c r="AE186" s="36" t="str">
        <x:f>IF(J186="","",J186)</x:f>
      </x:c>
      <x:c r="AF186" s="36" t="str">
        <x:f>IF(K186="","",K186)</x:f>
      </x:c>
      <x:c r="AG186" s="36" t="str">
        <x:f>IF(L186="","",L186)</x:f>
      </x:c>
      <x:c r="AH186" s="36" t="str">
        <x:f>IF(M186="","",M186)</x:f>
      </x:c>
      <x:c r="AI186" s="36" t="str">
        <x:f>IF(N186="","",N186)</x:f>
      </x:c>
      <x:c r="AJ186" s="36" t="str">
        <x:f>IF(O186="","",O186)</x:f>
      </x:c>
      <x:c r="AK186" s="36" t="str">
        <x:f>IF(P186="","",P186)</x:f>
      </x:c>
      <x:c r="AL186" s="36" t="str">
        <x:f>IF(R186="","",TEXT(R186,"yyyymmddhhmmss")&amp;"-"&amp;S186&amp;"-"&amp;TEXT(ROW()-4,"0000"))</x:f>
      </x:c>
      <x:c r="AM186" s="36" t="str">
        <x:f>IF(R186="","",IF(T186="KOD HATALI","Öğrenci Kodu Hatalı",IF(OR(V186="",W186="",X186="",Y186="",Z186="",AF186="",AG186="",AJ186="",AK186=""),"Eksik Zorunlu Alan",IF(OR(Y186&lt;0,Z186&lt;0,Z186&gt;Y186),"Soru Sayısı Hatası",IF(AND(AD186&lt;&gt;"",AD186&lt;V186),"Ödev Tarihi Hatası",IF(COUNTIF($AL$5:AL186,AL186)&gt;1,"Mükerrer Form Kaydı","Aktarıma Hazır"))))))</x:f>
      </x:c>
      <x:c r="AN186" s="30"/>
      <x:c r="AO186" s="40"/>
      <x:c r="AP186" s="30"/>
    </x:row>
    <x:row r="187">
      <x:c r="A187" s="158"/>
      <x:c r="B187" s="44"/>
      <x:c r="C187" s="40"/>
      <x:c r="D187" s="30"/>
      <x:c r="E187" s="30"/>
      <x:c r="F187" s="30"/>
      <x:c r="G187" s="30"/>
      <x:c r="H187" s="30"/>
      <x:c r="I187" s="40"/>
      <x:c r="J187" s="30"/>
      <x:c r="K187" s="30"/>
      <x:c r="L187" s="30"/>
      <x:c r="M187" s="30"/>
      <x:c r="N187" s="30"/>
      <x:c r="O187" s="30"/>
      <x:c r="P187" s="30"/>
      <x:c r="R187" s="160" t="str">
        <x:f>IF(A187="","",A187)</x:f>
      </x:c>
      <x:c r="S187" s="126" t="str">
        <x:f>IF(B187="","",B187)</x:f>
      </x:c>
      <x:c r="T187" s="36" t="str">
        <x:f>IF(S187="","",IFERROR(INDEX('02_Öğrenciler'!$B$5:$B$203,MATCH(S187,'02_Öğrenciler'!$A$5:$A$203,0)),"KOD HATALI"))</x:f>
      </x:c>
      <x:c r="U187" s="36" t="str">
        <x:f>IF(S187="","",IFERROR(INDEX('02_Öğrenciler'!$C$5:$C$203,MATCH(S187,'02_Öğrenciler'!$A$5:$A$203,0)),""))</x:f>
      </x:c>
      <x:c r="V187" s="132" t="str">
        <x:f>IF(C187="","",C187)</x:f>
      </x:c>
      <x:c r="W187" s="36" t="str">
        <x:f>IF(D187="","",D187)</x:f>
      </x:c>
      <x:c r="X187" s="36" t="str">
        <x:f>IF(E187="","",E187)</x:f>
      </x:c>
      <x:c r="Y187" s="36" t="str">
        <x:f>IF(F187="","",F187)</x:f>
      </x:c>
      <x:c r="Z187" s="36" t="str">
        <x:f>IF(G187="","",G187)</x:f>
      </x:c>
      <x:c r="AA187" s="36" t="str">
        <x:f>IF(OR(Y187="",Z187=""),"",Y187-Z187)</x:f>
      </x:c>
      <x:c r="AB187" s="52" t="str">
        <x:f>IF(OR(Y187="",Z187=""),"",IFERROR(Z187/Y187,0))</x:f>
      </x:c>
      <x:c r="AC187" s="36" t="str">
        <x:f>IF(H187="","",H187)</x:f>
      </x:c>
      <x:c r="AD187" s="132" t="str">
        <x:f>IF(I187="","",I187)</x:f>
      </x:c>
      <x:c r="AE187" s="36" t="str">
        <x:f>IF(J187="","",J187)</x:f>
      </x:c>
      <x:c r="AF187" s="36" t="str">
        <x:f>IF(K187="","",K187)</x:f>
      </x:c>
      <x:c r="AG187" s="36" t="str">
        <x:f>IF(L187="","",L187)</x:f>
      </x:c>
      <x:c r="AH187" s="36" t="str">
        <x:f>IF(M187="","",M187)</x:f>
      </x:c>
      <x:c r="AI187" s="36" t="str">
        <x:f>IF(N187="","",N187)</x:f>
      </x:c>
      <x:c r="AJ187" s="36" t="str">
        <x:f>IF(O187="","",O187)</x:f>
      </x:c>
      <x:c r="AK187" s="36" t="str">
        <x:f>IF(P187="","",P187)</x:f>
      </x:c>
      <x:c r="AL187" s="36" t="str">
        <x:f>IF(R187="","",TEXT(R187,"yyyymmddhhmmss")&amp;"-"&amp;S187&amp;"-"&amp;TEXT(ROW()-4,"0000"))</x:f>
      </x:c>
      <x:c r="AM187" s="36" t="str">
        <x:f>IF(R187="","",IF(T187="KOD HATALI","Öğrenci Kodu Hatalı",IF(OR(V187="",W187="",X187="",Y187="",Z187="",AF187="",AG187="",AJ187="",AK187=""),"Eksik Zorunlu Alan",IF(OR(Y187&lt;0,Z187&lt;0,Z187&gt;Y187),"Soru Sayısı Hatası",IF(AND(AD187&lt;&gt;"",AD187&lt;V187),"Ödev Tarihi Hatası",IF(COUNTIF($AL$5:AL187,AL187)&gt;1,"Mükerrer Form Kaydı","Aktarıma Hazır"))))))</x:f>
      </x:c>
      <x:c r="AN187" s="30"/>
      <x:c r="AO187" s="40"/>
      <x:c r="AP187" s="30"/>
    </x:row>
    <x:row r="188">
      <x:c r="A188" s="158"/>
      <x:c r="B188" s="44"/>
      <x:c r="C188" s="40"/>
      <x:c r="D188" s="30"/>
      <x:c r="E188" s="30"/>
      <x:c r="F188" s="30"/>
      <x:c r="G188" s="30"/>
      <x:c r="H188" s="30"/>
      <x:c r="I188" s="40"/>
      <x:c r="J188" s="30"/>
      <x:c r="K188" s="30"/>
      <x:c r="L188" s="30"/>
      <x:c r="M188" s="30"/>
      <x:c r="N188" s="30"/>
      <x:c r="O188" s="30"/>
      <x:c r="P188" s="30"/>
      <x:c r="R188" s="160" t="str">
        <x:f>IF(A188="","",A188)</x:f>
      </x:c>
      <x:c r="S188" s="126" t="str">
        <x:f>IF(B188="","",B188)</x:f>
      </x:c>
      <x:c r="T188" s="36" t="str">
        <x:f>IF(S188="","",IFERROR(INDEX('02_Öğrenciler'!$B$5:$B$203,MATCH(S188,'02_Öğrenciler'!$A$5:$A$203,0)),"KOD HATALI"))</x:f>
      </x:c>
      <x:c r="U188" s="36" t="str">
        <x:f>IF(S188="","",IFERROR(INDEX('02_Öğrenciler'!$C$5:$C$203,MATCH(S188,'02_Öğrenciler'!$A$5:$A$203,0)),""))</x:f>
      </x:c>
      <x:c r="V188" s="132" t="str">
        <x:f>IF(C188="","",C188)</x:f>
      </x:c>
      <x:c r="W188" s="36" t="str">
        <x:f>IF(D188="","",D188)</x:f>
      </x:c>
      <x:c r="X188" s="36" t="str">
        <x:f>IF(E188="","",E188)</x:f>
      </x:c>
      <x:c r="Y188" s="36" t="str">
        <x:f>IF(F188="","",F188)</x:f>
      </x:c>
      <x:c r="Z188" s="36" t="str">
        <x:f>IF(G188="","",G188)</x:f>
      </x:c>
      <x:c r="AA188" s="36" t="str">
        <x:f>IF(OR(Y188="",Z188=""),"",Y188-Z188)</x:f>
      </x:c>
      <x:c r="AB188" s="52" t="str">
        <x:f>IF(OR(Y188="",Z188=""),"",IFERROR(Z188/Y188,0))</x:f>
      </x:c>
      <x:c r="AC188" s="36" t="str">
        <x:f>IF(H188="","",H188)</x:f>
      </x:c>
      <x:c r="AD188" s="132" t="str">
        <x:f>IF(I188="","",I188)</x:f>
      </x:c>
      <x:c r="AE188" s="36" t="str">
        <x:f>IF(J188="","",J188)</x:f>
      </x:c>
      <x:c r="AF188" s="36" t="str">
        <x:f>IF(K188="","",K188)</x:f>
      </x:c>
      <x:c r="AG188" s="36" t="str">
        <x:f>IF(L188="","",L188)</x:f>
      </x:c>
      <x:c r="AH188" s="36" t="str">
        <x:f>IF(M188="","",M188)</x:f>
      </x:c>
      <x:c r="AI188" s="36" t="str">
        <x:f>IF(N188="","",N188)</x:f>
      </x:c>
      <x:c r="AJ188" s="36" t="str">
        <x:f>IF(O188="","",O188)</x:f>
      </x:c>
      <x:c r="AK188" s="36" t="str">
        <x:f>IF(P188="","",P188)</x:f>
      </x:c>
      <x:c r="AL188" s="36" t="str">
        <x:f>IF(R188="","",TEXT(R188,"yyyymmddhhmmss")&amp;"-"&amp;S188&amp;"-"&amp;TEXT(ROW()-4,"0000"))</x:f>
      </x:c>
      <x:c r="AM188" s="36" t="str">
        <x:f>IF(R188="","",IF(T188="KOD HATALI","Öğrenci Kodu Hatalı",IF(OR(V188="",W188="",X188="",Y188="",Z188="",AF188="",AG188="",AJ188="",AK188=""),"Eksik Zorunlu Alan",IF(OR(Y188&lt;0,Z188&lt;0,Z188&gt;Y188),"Soru Sayısı Hatası",IF(AND(AD188&lt;&gt;"",AD188&lt;V188),"Ödev Tarihi Hatası",IF(COUNTIF($AL$5:AL188,AL188)&gt;1,"Mükerrer Form Kaydı","Aktarıma Hazır"))))))</x:f>
      </x:c>
      <x:c r="AN188" s="30"/>
      <x:c r="AO188" s="40"/>
      <x:c r="AP188" s="30"/>
    </x:row>
    <x:row r="189">
      <x:c r="A189" s="158"/>
      <x:c r="B189" s="44"/>
      <x:c r="C189" s="40"/>
      <x:c r="D189" s="30"/>
      <x:c r="E189" s="30"/>
      <x:c r="F189" s="30"/>
      <x:c r="G189" s="30"/>
      <x:c r="H189" s="30"/>
      <x:c r="I189" s="40"/>
      <x:c r="J189" s="30"/>
      <x:c r="K189" s="30"/>
      <x:c r="L189" s="30"/>
      <x:c r="M189" s="30"/>
      <x:c r="N189" s="30"/>
      <x:c r="O189" s="30"/>
      <x:c r="P189" s="30"/>
      <x:c r="R189" s="160" t="str">
        <x:f>IF(A189="","",A189)</x:f>
      </x:c>
      <x:c r="S189" s="126" t="str">
        <x:f>IF(B189="","",B189)</x:f>
      </x:c>
      <x:c r="T189" s="36" t="str">
        <x:f>IF(S189="","",IFERROR(INDEX('02_Öğrenciler'!$B$5:$B$203,MATCH(S189,'02_Öğrenciler'!$A$5:$A$203,0)),"KOD HATALI"))</x:f>
      </x:c>
      <x:c r="U189" s="36" t="str">
        <x:f>IF(S189="","",IFERROR(INDEX('02_Öğrenciler'!$C$5:$C$203,MATCH(S189,'02_Öğrenciler'!$A$5:$A$203,0)),""))</x:f>
      </x:c>
      <x:c r="V189" s="132" t="str">
        <x:f>IF(C189="","",C189)</x:f>
      </x:c>
      <x:c r="W189" s="36" t="str">
        <x:f>IF(D189="","",D189)</x:f>
      </x:c>
      <x:c r="X189" s="36" t="str">
        <x:f>IF(E189="","",E189)</x:f>
      </x:c>
      <x:c r="Y189" s="36" t="str">
        <x:f>IF(F189="","",F189)</x:f>
      </x:c>
      <x:c r="Z189" s="36" t="str">
        <x:f>IF(G189="","",G189)</x:f>
      </x:c>
      <x:c r="AA189" s="36" t="str">
        <x:f>IF(OR(Y189="",Z189=""),"",Y189-Z189)</x:f>
      </x:c>
      <x:c r="AB189" s="52" t="str">
        <x:f>IF(OR(Y189="",Z189=""),"",IFERROR(Z189/Y189,0))</x:f>
      </x:c>
      <x:c r="AC189" s="36" t="str">
        <x:f>IF(H189="","",H189)</x:f>
      </x:c>
      <x:c r="AD189" s="132" t="str">
        <x:f>IF(I189="","",I189)</x:f>
      </x:c>
      <x:c r="AE189" s="36" t="str">
        <x:f>IF(J189="","",J189)</x:f>
      </x:c>
      <x:c r="AF189" s="36" t="str">
        <x:f>IF(K189="","",K189)</x:f>
      </x:c>
      <x:c r="AG189" s="36" t="str">
        <x:f>IF(L189="","",L189)</x:f>
      </x:c>
      <x:c r="AH189" s="36" t="str">
        <x:f>IF(M189="","",M189)</x:f>
      </x:c>
      <x:c r="AI189" s="36" t="str">
        <x:f>IF(N189="","",N189)</x:f>
      </x:c>
      <x:c r="AJ189" s="36" t="str">
        <x:f>IF(O189="","",O189)</x:f>
      </x:c>
      <x:c r="AK189" s="36" t="str">
        <x:f>IF(P189="","",P189)</x:f>
      </x:c>
      <x:c r="AL189" s="36" t="str">
        <x:f>IF(R189="","",TEXT(R189,"yyyymmddhhmmss")&amp;"-"&amp;S189&amp;"-"&amp;TEXT(ROW()-4,"0000"))</x:f>
      </x:c>
      <x:c r="AM189" s="36" t="str">
        <x:f>IF(R189="","",IF(T189="KOD HATALI","Öğrenci Kodu Hatalı",IF(OR(V189="",W189="",X189="",Y189="",Z189="",AF189="",AG189="",AJ189="",AK189=""),"Eksik Zorunlu Alan",IF(OR(Y189&lt;0,Z189&lt;0,Z189&gt;Y189),"Soru Sayısı Hatası",IF(AND(AD189&lt;&gt;"",AD189&lt;V189),"Ödev Tarihi Hatası",IF(COUNTIF($AL$5:AL189,AL189)&gt;1,"Mükerrer Form Kaydı","Aktarıma Hazır"))))))</x:f>
      </x:c>
      <x:c r="AN189" s="30"/>
      <x:c r="AO189" s="40"/>
      <x:c r="AP189" s="30"/>
    </x:row>
    <x:row r="190">
      <x:c r="A190" s="158"/>
      <x:c r="B190" s="44"/>
      <x:c r="C190" s="40"/>
      <x:c r="D190" s="30"/>
      <x:c r="E190" s="30"/>
      <x:c r="F190" s="30"/>
      <x:c r="G190" s="30"/>
      <x:c r="H190" s="30"/>
      <x:c r="I190" s="40"/>
      <x:c r="J190" s="30"/>
      <x:c r="K190" s="30"/>
      <x:c r="L190" s="30"/>
      <x:c r="M190" s="30"/>
      <x:c r="N190" s="30"/>
      <x:c r="O190" s="30"/>
      <x:c r="P190" s="30"/>
      <x:c r="R190" s="160" t="str">
        <x:f>IF(A190="","",A190)</x:f>
      </x:c>
      <x:c r="S190" s="126" t="str">
        <x:f>IF(B190="","",B190)</x:f>
      </x:c>
      <x:c r="T190" s="36" t="str">
        <x:f>IF(S190="","",IFERROR(INDEX('02_Öğrenciler'!$B$5:$B$203,MATCH(S190,'02_Öğrenciler'!$A$5:$A$203,0)),"KOD HATALI"))</x:f>
      </x:c>
      <x:c r="U190" s="36" t="str">
        <x:f>IF(S190="","",IFERROR(INDEX('02_Öğrenciler'!$C$5:$C$203,MATCH(S190,'02_Öğrenciler'!$A$5:$A$203,0)),""))</x:f>
      </x:c>
      <x:c r="V190" s="132" t="str">
        <x:f>IF(C190="","",C190)</x:f>
      </x:c>
      <x:c r="W190" s="36" t="str">
        <x:f>IF(D190="","",D190)</x:f>
      </x:c>
      <x:c r="X190" s="36" t="str">
        <x:f>IF(E190="","",E190)</x:f>
      </x:c>
      <x:c r="Y190" s="36" t="str">
        <x:f>IF(F190="","",F190)</x:f>
      </x:c>
      <x:c r="Z190" s="36" t="str">
        <x:f>IF(G190="","",G190)</x:f>
      </x:c>
      <x:c r="AA190" s="36" t="str">
        <x:f>IF(OR(Y190="",Z190=""),"",Y190-Z190)</x:f>
      </x:c>
      <x:c r="AB190" s="52" t="str">
        <x:f>IF(OR(Y190="",Z190=""),"",IFERROR(Z190/Y190,0))</x:f>
      </x:c>
      <x:c r="AC190" s="36" t="str">
        <x:f>IF(H190="","",H190)</x:f>
      </x:c>
      <x:c r="AD190" s="132" t="str">
        <x:f>IF(I190="","",I190)</x:f>
      </x:c>
      <x:c r="AE190" s="36" t="str">
        <x:f>IF(J190="","",J190)</x:f>
      </x:c>
      <x:c r="AF190" s="36" t="str">
        <x:f>IF(K190="","",K190)</x:f>
      </x:c>
      <x:c r="AG190" s="36" t="str">
        <x:f>IF(L190="","",L190)</x:f>
      </x:c>
      <x:c r="AH190" s="36" t="str">
        <x:f>IF(M190="","",M190)</x:f>
      </x:c>
      <x:c r="AI190" s="36" t="str">
        <x:f>IF(N190="","",N190)</x:f>
      </x:c>
      <x:c r="AJ190" s="36" t="str">
        <x:f>IF(O190="","",O190)</x:f>
      </x:c>
      <x:c r="AK190" s="36" t="str">
        <x:f>IF(P190="","",P190)</x:f>
      </x:c>
      <x:c r="AL190" s="36" t="str">
        <x:f>IF(R190="","",TEXT(R190,"yyyymmddhhmmss")&amp;"-"&amp;S190&amp;"-"&amp;TEXT(ROW()-4,"0000"))</x:f>
      </x:c>
      <x:c r="AM190" s="36" t="str">
        <x:f>IF(R190="","",IF(T190="KOD HATALI","Öğrenci Kodu Hatalı",IF(OR(V190="",W190="",X190="",Y190="",Z190="",AF190="",AG190="",AJ190="",AK190=""),"Eksik Zorunlu Alan",IF(OR(Y190&lt;0,Z190&lt;0,Z190&gt;Y190),"Soru Sayısı Hatası",IF(AND(AD190&lt;&gt;"",AD190&lt;V190),"Ödev Tarihi Hatası",IF(COUNTIF($AL$5:AL190,AL190)&gt;1,"Mükerrer Form Kaydı","Aktarıma Hazır"))))))</x:f>
      </x:c>
      <x:c r="AN190" s="30"/>
      <x:c r="AO190" s="40"/>
      <x:c r="AP190" s="30"/>
    </x:row>
    <x:row r="191">
      <x:c r="A191" s="158"/>
      <x:c r="B191" s="44"/>
      <x:c r="C191" s="40"/>
      <x:c r="D191" s="30"/>
      <x:c r="E191" s="30"/>
      <x:c r="F191" s="30"/>
      <x:c r="G191" s="30"/>
      <x:c r="H191" s="30"/>
      <x:c r="I191" s="40"/>
      <x:c r="J191" s="30"/>
      <x:c r="K191" s="30"/>
      <x:c r="L191" s="30"/>
      <x:c r="M191" s="30"/>
      <x:c r="N191" s="30"/>
      <x:c r="O191" s="30"/>
      <x:c r="P191" s="30"/>
      <x:c r="R191" s="160" t="str">
        <x:f>IF(A191="","",A191)</x:f>
      </x:c>
      <x:c r="S191" s="126" t="str">
        <x:f>IF(B191="","",B191)</x:f>
      </x:c>
      <x:c r="T191" s="36" t="str">
        <x:f>IF(S191="","",IFERROR(INDEX('02_Öğrenciler'!$B$5:$B$203,MATCH(S191,'02_Öğrenciler'!$A$5:$A$203,0)),"KOD HATALI"))</x:f>
      </x:c>
      <x:c r="U191" s="36" t="str">
        <x:f>IF(S191="","",IFERROR(INDEX('02_Öğrenciler'!$C$5:$C$203,MATCH(S191,'02_Öğrenciler'!$A$5:$A$203,0)),""))</x:f>
      </x:c>
      <x:c r="V191" s="132" t="str">
        <x:f>IF(C191="","",C191)</x:f>
      </x:c>
      <x:c r="W191" s="36" t="str">
        <x:f>IF(D191="","",D191)</x:f>
      </x:c>
      <x:c r="X191" s="36" t="str">
        <x:f>IF(E191="","",E191)</x:f>
      </x:c>
      <x:c r="Y191" s="36" t="str">
        <x:f>IF(F191="","",F191)</x:f>
      </x:c>
      <x:c r="Z191" s="36" t="str">
        <x:f>IF(G191="","",G191)</x:f>
      </x:c>
      <x:c r="AA191" s="36" t="str">
        <x:f>IF(OR(Y191="",Z191=""),"",Y191-Z191)</x:f>
      </x:c>
      <x:c r="AB191" s="52" t="str">
        <x:f>IF(OR(Y191="",Z191=""),"",IFERROR(Z191/Y191,0))</x:f>
      </x:c>
      <x:c r="AC191" s="36" t="str">
        <x:f>IF(H191="","",H191)</x:f>
      </x:c>
      <x:c r="AD191" s="132" t="str">
        <x:f>IF(I191="","",I191)</x:f>
      </x:c>
      <x:c r="AE191" s="36" t="str">
        <x:f>IF(J191="","",J191)</x:f>
      </x:c>
      <x:c r="AF191" s="36" t="str">
        <x:f>IF(K191="","",K191)</x:f>
      </x:c>
      <x:c r="AG191" s="36" t="str">
        <x:f>IF(L191="","",L191)</x:f>
      </x:c>
      <x:c r="AH191" s="36" t="str">
        <x:f>IF(M191="","",M191)</x:f>
      </x:c>
      <x:c r="AI191" s="36" t="str">
        <x:f>IF(N191="","",N191)</x:f>
      </x:c>
      <x:c r="AJ191" s="36" t="str">
        <x:f>IF(O191="","",O191)</x:f>
      </x:c>
      <x:c r="AK191" s="36" t="str">
        <x:f>IF(P191="","",P191)</x:f>
      </x:c>
      <x:c r="AL191" s="36" t="str">
        <x:f>IF(R191="","",TEXT(R191,"yyyymmddhhmmss")&amp;"-"&amp;S191&amp;"-"&amp;TEXT(ROW()-4,"0000"))</x:f>
      </x:c>
      <x:c r="AM191" s="36" t="str">
        <x:f>IF(R191="","",IF(T191="KOD HATALI","Öğrenci Kodu Hatalı",IF(OR(V191="",W191="",X191="",Y191="",Z191="",AF191="",AG191="",AJ191="",AK191=""),"Eksik Zorunlu Alan",IF(OR(Y191&lt;0,Z191&lt;0,Z191&gt;Y191),"Soru Sayısı Hatası",IF(AND(AD191&lt;&gt;"",AD191&lt;V191),"Ödev Tarihi Hatası",IF(COUNTIF($AL$5:AL191,AL191)&gt;1,"Mükerrer Form Kaydı","Aktarıma Hazır"))))))</x:f>
      </x:c>
      <x:c r="AN191" s="30"/>
      <x:c r="AO191" s="40"/>
      <x:c r="AP191" s="30"/>
    </x:row>
    <x:row r="192">
      <x:c r="A192" s="158"/>
      <x:c r="B192" s="44"/>
      <x:c r="C192" s="40"/>
      <x:c r="D192" s="30"/>
      <x:c r="E192" s="30"/>
      <x:c r="F192" s="30"/>
      <x:c r="G192" s="30"/>
      <x:c r="H192" s="30"/>
      <x:c r="I192" s="40"/>
      <x:c r="J192" s="30"/>
      <x:c r="K192" s="30"/>
      <x:c r="L192" s="30"/>
      <x:c r="M192" s="30"/>
      <x:c r="N192" s="30"/>
      <x:c r="O192" s="30"/>
      <x:c r="P192" s="30"/>
      <x:c r="R192" s="160" t="str">
        <x:f>IF(A192="","",A192)</x:f>
      </x:c>
      <x:c r="S192" s="126" t="str">
        <x:f>IF(B192="","",B192)</x:f>
      </x:c>
      <x:c r="T192" s="36" t="str">
        <x:f>IF(S192="","",IFERROR(INDEX('02_Öğrenciler'!$B$5:$B$203,MATCH(S192,'02_Öğrenciler'!$A$5:$A$203,0)),"KOD HATALI"))</x:f>
      </x:c>
      <x:c r="U192" s="36" t="str">
        <x:f>IF(S192="","",IFERROR(INDEX('02_Öğrenciler'!$C$5:$C$203,MATCH(S192,'02_Öğrenciler'!$A$5:$A$203,0)),""))</x:f>
      </x:c>
      <x:c r="V192" s="132" t="str">
        <x:f>IF(C192="","",C192)</x:f>
      </x:c>
      <x:c r="W192" s="36" t="str">
        <x:f>IF(D192="","",D192)</x:f>
      </x:c>
      <x:c r="X192" s="36" t="str">
        <x:f>IF(E192="","",E192)</x:f>
      </x:c>
      <x:c r="Y192" s="36" t="str">
        <x:f>IF(F192="","",F192)</x:f>
      </x:c>
      <x:c r="Z192" s="36" t="str">
        <x:f>IF(G192="","",G192)</x:f>
      </x:c>
      <x:c r="AA192" s="36" t="str">
        <x:f>IF(OR(Y192="",Z192=""),"",Y192-Z192)</x:f>
      </x:c>
      <x:c r="AB192" s="52" t="str">
        <x:f>IF(OR(Y192="",Z192=""),"",IFERROR(Z192/Y192,0))</x:f>
      </x:c>
      <x:c r="AC192" s="36" t="str">
        <x:f>IF(H192="","",H192)</x:f>
      </x:c>
      <x:c r="AD192" s="132" t="str">
        <x:f>IF(I192="","",I192)</x:f>
      </x:c>
      <x:c r="AE192" s="36" t="str">
        <x:f>IF(J192="","",J192)</x:f>
      </x:c>
      <x:c r="AF192" s="36" t="str">
        <x:f>IF(K192="","",K192)</x:f>
      </x:c>
      <x:c r="AG192" s="36" t="str">
        <x:f>IF(L192="","",L192)</x:f>
      </x:c>
      <x:c r="AH192" s="36" t="str">
        <x:f>IF(M192="","",M192)</x:f>
      </x:c>
      <x:c r="AI192" s="36" t="str">
        <x:f>IF(N192="","",N192)</x:f>
      </x:c>
      <x:c r="AJ192" s="36" t="str">
        <x:f>IF(O192="","",O192)</x:f>
      </x:c>
      <x:c r="AK192" s="36" t="str">
        <x:f>IF(P192="","",P192)</x:f>
      </x:c>
      <x:c r="AL192" s="36" t="str">
        <x:f>IF(R192="","",TEXT(R192,"yyyymmddhhmmss")&amp;"-"&amp;S192&amp;"-"&amp;TEXT(ROW()-4,"0000"))</x:f>
      </x:c>
      <x:c r="AM192" s="36" t="str">
        <x:f>IF(R192="","",IF(T192="KOD HATALI","Öğrenci Kodu Hatalı",IF(OR(V192="",W192="",X192="",Y192="",Z192="",AF192="",AG192="",AJ192="",AK192=""),"Eksik Zorunlu Alan",IF(OR(Y192&lt;0,Z192&lt;0,Z192&gt;Y192),"Soru Sayısı Hatası",IF(AND(AD192&lt;&gt;"",AD192&lt;V192),"Ödev Tarihi Hatası",IF(COUNTIF($AL$5:AL192,AL192)&gt;1,"Mükerrer Form Kaydı","Aktarıma Hazır"))))))</x:f>
      </x:c>
      <x:c r="AN192" s="30"/>
      <x:c r="AO192" s="40"/>
      <x:c r="AP192" s="30"/>
    </x:row>
    <x:row r="193">
      <x:c r="A193" s="158"/>
      <x:c r="B193" s="44"/>
      <x:c r="C193" s="40"/>
      <x:c r="D193" s="30"/>
      <x:c r="E193" s="30"/>
      <x:c r="F193" s="30"/>
      <x:c r="G193" s="30"/>
      <x:c r="H193" s="30"/>
      <x:c r="I193" s="40"/>
      <x:c r="J193" s="30"/>
      <x:c r="K193" s="30"/>
      <x:c r="L193" s="30"/>
      <x:c r="M193" s="30"/>
      <x:c r="N193" s="30"/>
      <x:c r="O193" s="30"/>
      <x:c r="P193" s="30"/>
      <x:c r="R193" s="160" t="str">
        <x:f>IF(A193="","",A193)</x:f>
      </x:c>
      <x:c r="S193" s="126" t="str">
        <x:f>IF(B193="","",B193)</x:f>
      </x:c>
      <x:c r="T193" s="36" t="str">
        <x:f>IF(S193="","",IFERROR(INDEX('02_Öğrenciler'!$B$5:$B$203,MATCH(S193,'02_Öğrenciler'!$A$5:$A$203,0)),"KOD HATALI"))</x:f>
      </x:c>
      <x:c r="U193" s="36" t="str">
        <x:f>IF(S193="","",IFERROR(INDEX('02_Öğrenciler'!$C$5:$C$203,MATCH(S193,'02_Öğrenciler'!$A$5:$A$203,0)),""))</x:f>
      </x:c>
      <x:c r="V193" s="132" t="str">
        <x:f>IF(C193="","",C193)</x:f>
      </x:c>
      <x:c r="W193" s="36" t="str">
        <x:f>IF(D193="","",D193)</x:f>
      </x:c>
      <x:c r="X193" s="36" t="str">
        <x:f>IF(E193="","",E193)</x:f>
      </x:c>
      <x:c r="Y193" s="36" t="str">
        <x:f>IF(F193="","",F193)</x:f>
      </x:c>
      <x:c r="Z193" s="36" t="str">
        <x:f>IF(G193="","",G193)</x:f>
      </x:c>
      <x:c r="AA193" s="36" t="str">
        <x:f>IF(OR(Y193="",Z193=""),"",Y193-Z193)</x:f>
      </x:c>
      <x:c r="AB193" s="52" t="str">
        <x:f>IF(OR(Y193="",Z193=""),"",IFERROR(Z193/Y193,0))</x:f>
      </x:c>
      <x:c r="AC193" s="36" t="str">
        <x:f>IF(H193="","",H193)</x:f>
      </x:c>
      <x:c r="AD193" s="132" t="str">
        <x:f>IF(I193="","",I193)</x:f>
      </x:c>
      <x:c r="AE193" s="36" t="str">
        <x:f>IF(J193="","",J193)</x:f>
      </x:c>
      <x:c r="AF193" s="36" t="str">
        <x:f>IF(K193="","",K193)</x:f>
      </x:c>
      <x:c r="AG193" s="36" t="str">
        <x:f>IF(L193="","",L193)</x:f>
      </x:c>
      <x:c r="AH193" s="36" t="str">
        <x:f>IF(M193="","",M193)</x:f>
      </x:c>
      <x:c r="AI193" s="36" t="str">
        <x:f>IF(N193="","",N193)</x:f>
      </x:c>
      <x:c r="AJ193" s="36" t="str">
        <x:f>IF(O193="","",O193)</x:f>
      </x:c>
      <x:c r="AK193" s="36" t="str">
        <x:f>IF(P193="","",P193)</x:f>
      </x:c>
      <x:c r="AL193" s="36" t="str">
        <x:f>IF(R193="","",TEXT(R193,"yyyymmddhhmmss")&amp;"-"&amp;S193&amp;"-"&amp;TEXT(ROW()-4,"0000"))</x:f>
      </x:c>
      <x:c r="AM193" s="36" t="str">
        <x:f>IF(R193="","",IF(T193="KOD HATALI","Öğrenci Kodu Hatalı",IF(OR(V193="",W193="",X193="",Y193="",Z193="",AF193="",AG193="",AJ193="",AK193=""),"Eksik Zorunlu Alan",IF(OR(Y193&lt;0,Z193&lt;0,Z193&gt;Y193),"Soru Sayısı Hatası",IF(AND(AD193&lt;&gt;"",AD193&lt;V193),"Ödev Tarihi Hatası",IF(COUNTIF($AL$5:AL193,AL193)&gt;1,"Mükerrer Form Kaydı","Aktarıma Hazır"))))))</x:f>
      </x:c>
      <x:c r="AN193" s="30"/>
      <x:c r="AO193" s="40"/>
      <x:c r="AP193" s="30"/>
    </x:row>
    <x:row r="194">
      <x:c r="A194" s="158"/>
      <x:c r="B194" s="44"/>
      <x:c r="C194" s="40"/>
      <x:c r="D194" s="30"/>
      <x:c r="E194" s="30"/>
      <x:c r="F194" s="30"/>
      <x:c r="G194" s="30"/>
      <x:c r="H194" s="30"/>
      <x:c r="I194" s="40"/>
      <x:c r="J194" s="30"/>
      <x:c r="K194" s="30"/>
      <x:c r="L194" s="30"/>
      <x:c r="M194" s="30"/>
      <x:c r="N194" s="30"/>
      <x:c r="O194" s="30"/>
      <x:c r="P194" s="30"/>
      <x:c r="R194" s="160" t="str">
        <x:f>IF(A194="","",A194)</x:f>
      </x:c>
      <x:c r="S194" s="126" t="str">
        <x:f>IF(B194="","",B194)</x:f>
      </x:c>
      <x:c r="T194" s="36" t="str">
        <x:f>IF(S194="","",IFERROR(INDEX('02_Öğrenciler'!$B$5:$B$203,MATCH(S194,'02_Öğrenciler'!$A$5:$A$203,0)),"KOD HATALI"))</x:f>
      </x:c>
      <x:c r="U194" s="36" t="str">
        <x:f>IF(S194="","",IFERROR(INDEX('02_Öğrenciler'!$C$5:$C$203,MATCH(S194,'02_Öğrenciler'!$A$5:$A$203,0)),""))</x:f>
      </x:c>
      <x:c r="V194" s="132" t="str">
        <x:f>IF(C194="","",C194)</x:f>
      </x:c>
      <x:c r="W194" s="36" t="str">
        <x:f>IF(D194="","",D194)</x:f>
      </x:c>
      <x:c r="X194" s="36" t="str">
        <x:f>IF(E194="","",E194)</x:f>
      </x:c>
      <x:c r="Y194" s="36" t="str">
        <x:f>IF(F194="","",F194)</x:f>
      </x:c>
      <x:c r="Z194" s="36" t="str">
        <x:f>IF(G194="","",G194)</x:f>
      </x:c>
      <x:c r="AA194" s="36" t="str">
        <x:f>IF(OR(Y194="",Z194=""),"",Y194-Z194)</x:f>
      </x:c>
      <x:c r="AB194" s="52" t="str">
        <x:f>IF(OR(Y194="",Z194=""),"",IFERROR(Z194/Y194,0))</x:f>
      </x:c>
      <x:c r="AC194" s="36" t="str">
        <x:f>IF(H194="","",H194)</x:f>
      </x:c>
      <x:c r="AD194" s="132" t="str">
        <x:f>IF(I194="","",I194)</x:f>
      </x:c>
      <x:c r="AE194" s="36" t="str">
        <x:f>IF(J194="","",J194)</x:f>
      </x:c>
      <x:c r="AF194" s="36" t="str">
        <x:f>IF(K194="","",K194)</x:f>
      </x:c>
      <x:c r="AG194" s="36" t="str">
        <x:f>IF(L194="","",L194)</x:f>
      </x:c>
      <x:c r="AH194" s="36" t="str">
        <x:f>IF(M194="","",M194)</x:f>
      </x:c>
      <x:c r="AI194" s="36" t="str">
        <x:f>IF(N194="","",N194)</x:f>
      </x:c>
      <x:c r="AJ194" s="36" t="str">
        <x:f>IF(O194="","",O194)</x:f>
      </x:c>
      <x:c r="AK194" s="36" t="str">
        <x:f>IF(P194="","",P194)</x:f>
      </x:c>
      <x:c r="AL194" s="36" t="str">
        <x:f>IF(R194="","",TEXT(R194,"yyyymmddhhmmss")&amp;"-"&amp;S194&amp;"-"&amp;TEXT(ROW()-4,"0000"))</x:f>
      </x:c>
      <x:c r="AM194" s="36" t="str">
        <x:f>IF(R194="","",IF(T194="KOD HATALI","Öğrenci Kodu Hatalı",IF(OR(V194="",W194="",X194="",Y194="",Z194="",AF194="",AG194="",AJ194="",AK194=""),"Eksik Zorunlu Alan",IF(OR(Y194&lt;0,Z194&lt;0,Z194&gt;Y194),"Soru Sayısı Hatası",IF(AND(AD194&lt;&gt;"",AD194&lt;V194),"Ödev Tarihi Hatası",IF(COUNTIF($AL$5:AL194,AL194)&gt;1,"Mükerrer Form Kaydı","Aktarıma Hazır"))))))</x:f>
      </x:c>
      <x:c r="AN194" s="30"/>
      <x:c r="AO194" s="40"/>
      <x:c r="AP194" s="30"/>
    </x:row>
    <x:row r="195">
      <x:c r="A195" s="158"/>
      <x:c r="B195" s="44"/>
      <x:c r="C195" s="40"/>
      <x:c r="D195" s="30"/>
      <x:c r="E195" s="30"/>
      <x:c r="F195" s="30"/>
      <x:c r="G195" s="30"/>
      <x:c r="H195" s="30"/>
      <x:c r="I195" s="40"/>
      <x:c r="J195" s="30"/>
      <x:c r="K195" s="30"/>
      <x:c r="L195" s="30"/>
      <x:c r="M195" s="30"/>
      <x:c r="N195" s="30"/>
      <x:c r="O195" s="30"/>
      <x:c r="P195" s="30"/>
      <x:c r="R195" s="160" t="str">
        <x:f>IF(A195="","",A195)</x:f>
      </x:c>
      <x:c r="S195" s="126" t="str">
        <x:f>IF(B195="","",B195)</x:f>
      </x:c>
      <x:c r="T195" s="36" t="str">
        <x:f>IF(S195="","",IFERROR(INDEX('02_Öğrenciler'!$B$5:$B$203,MATCH(S195,'02_Öğrenciler'!$A$5:$A$203,0)),"KOD HATALI"))</x:f>
      </x:c>
      <x:c r="U195" s="36" t="str">
        <x:f>IF(S195="","",IFERROR(INDEX('02_Öğrenciler'!$C$5:$C$203,MATCH(S195,'02_Öğrenciler'!$A$5:$A$203,0)),""))</x:f>
      </x:c>
      <x:c r="V195" s="132" t="str">
        <x:f>IF(C195="","",C195)</x:f>
      </x:c>
      <x:c r="W195" s="36" t="str">
        <x:f>IF(D195="","",D195)</x:f>
      </x:c>
      <x:c r="X195" s="36" t="str">
        <x:f>IF(E195="","",E195)</x:f>
      </x:c>
      <x:c r="Y195" s="36" t="str">
        <x:f>IF(F195="","",F195)</x:f>
      </x:c>
      <x:c r="Z195" s="36" t="str">
        <x:f>IF(G195="","",G195)</x:f>
      </x:c>
      <x:c r="AA195" s="36" t="str">
        <x:f>IF(OR(Y195="",Z195=""),"",Y195-Z195)</x:f>
      </x:c>
      <x:c r="AB195" s="52" t="str">
        <x:f>IF(OR(Y195="",Z195=""),"",IFERROR(Z195/Y195,0))</x:f>
      </x:c>
      <x:c r="AC195" s="36" t="str">
        <x:f>IF(H195="","",H195)</x:f>
      </x:c>
      <x:c r="AD195" s="132" t="str">
        <x:f>IF(I195="","",I195)</x:f>
      </x:c>
      <x:c r="AE195" s="36" t="str">
        <x:f>IF(J195="","",J195)</x:f>
      </x:c>
      <x:c r="AF195" s="36" t="str">
        <x:f>IF(K195="","",K195)</x:f>
      </x:c>
      <x:c r="AG195" s="36" t="str">
        <x:f>IF(L195="","",L195)</x:f>
      </x:c>
      <x:c r="AH195" s="36" t="str">
        <x:f>IF(M195="","",M195)</x:f>
      </x:c>
      <x:c r="AI195" s="36" t="str">
        <x:f>IF(N195="","",N195)</x:f>
      </x:c>
      <x:c r="AJ195" s="36" t="str">
        <x:f>IF(O195="","",O195)</x:f>
      </x:c>
      <x:c r="AK195" s="36" t="str">
        <x:f>IF(P195="","",P195)</x:f>
      </x:c>
      <x:c r="AL195" s="36" t="str">
        <x:f>IF(R195="","",TEXT(R195,"yyyymmddhhmmss")&amp;"-"&amp;S195&amp;"-"&amp;TEXT(ROW()-4,"0000"))</x:f>
      </x:c>
      <x:c r="AM195" s="36" t="str">
        <x:f>IF(R195="","",IF(T195="KOD HATALI","Öğrenci Kodu Hatalı",IF(OR(V195="",W195="",X195="",Y195="",Z195="",AF195="",AG195="",AJ195="",AK195=""),"Eksik Zorunlu Alan",IF(OR(Y195&lt;0,Z195&lt;0,Z195&gt;Y195),"Soru Sayısı Hatası",IF(AND(AD195&lt;&gt;"",AD195&lt;V195),"Ödev Tarihi Hatası",IF(COUNTIF($AL$5:AL195,AL195)&gt;1,"Mükerrer Form Kaydı","Aktarıma Hazır"))))))</x:f>
      </x:c>
      <x:c r="AN195" s="30"/>
      <x:c r="AO195" s="40"/>
      <x:c r="AP195" s="30"/>
    </x:row>
    <x:row r="196">
      <x:c r="A196" s="158"/>
      <x:c r="B196" s="44"/>
      <x:c r="C196" s="40"/>
      <x:c r="D196" s="30"/>
      <x:c r="E196" s="30"/>
      <x:c r="F196" s="30"/>
      <x:c r="G196" s="30"/>
      <x:c r="H196" s="30"/>
      <x:c r="I196" s="40"/>
      <x:c r="J196" s="30"/>
      <x:c r="K196" s="30"/>
      <x:c r="L196" s="30"/>
      <x:c r="M196" s="30"/>
      <x:c r="N196" s="30"/>
      <x:c r="O196" s="30"/>
      <x:c r="P196" s="30"/>
      <x:c r="R196" s="160" t="str">
        <x:f>IF(A196="","",A196)</x:f>
      </x:c>
      <x:c r="S196" s="126" t="str">
        <x:f>IF(B196="","",B196)</x:f>
      </x:c>
      <x:c r="T196" s="36" t="str">
        <x:f>IF(S196="","",IFERROR(INDEX('02_Öğrenciler'!$B$5:$B$203,MATCH(S196,'02_Öğrenciler'!$A$5:$A$203,0)),"KOD HATALI"))</x:f>
      </x:c>
      <x:c r="U196" s="36" t="str">
        <x:f>IF(S196="","",IFERROR(INDEX('02_Öğrenciler'!$C$5:$C$203,MATCH(S196,'02_Öğrenciler'!$A$5:$A$203,0)),""))</x:f>
      </x:c>
      <x:c r="V196" s="132" t="str">
        <x:f>IF(C196="","",C196)</x:f>
      </x:c>
      <x:c r="W196" s="36" t="str">
        <x:f>IF(D196="","",D196)</x:f>
      </x:c>
      <x:c r="X196" s="36" t="str">
        <x:f>IF(E196="","",E196)</x:f>
      </x:c>
      <x:c r="Y196" s="36" t="str">
        <x:f>IF(F196="","",F196)</x:f>
      </x:c>
      <x:c r="Z196" s="36" t="str">
        <x:f>IF(G196="","",G196)</x:f>
      </x:c>
      <x:c r="AA196" s="36" t="str">
        <x:f>IF(OR(Y196="",Z196=""),"",Y196-Z196)</x:f>
      </x:c>
      <x:c r="AB196" s="52" t="str">
        <x:f>IF(OR(Y196="",Z196=""),"",IFERROR(Z196/Y196,0))</x:f>
      </x:c>
      <x:c r="AC196" s="36" t="str">
        <x:f>IF(H196="","",H196)</x:f>
      </x:c>
      <x:c r="AD196" s="132" t="str">
        <x:f>IF(I196="","",I196)</x:f>
      </x:c>
      <x:c r="AE196" s="36" t="str">
        <x:f>IF(J196="","",J196)</x:f>
      </x:c>
      <x:c r="AF196" s="36" t="str">
        <x:f>IF(K196="","",K196)</x:f>
      </x:c>
      <x:c r="AG196" s="36" t="str">
        <x:f>IF(L196="","",L196)</x:f>
      </x:c>
      <x:c r="AH196" s="36" t="str">
        <x:f>IF(M196="","",M196)</x:f>
      </x:c>
      <x:c r="AI196" s="36" t="str">
        <x:f>IF(N196="","",N196)</x:f>
      </x:c>
      <x:c r="AJ196" s="36" t="str">
        <x:f>IF(O196="","",O196)</x:f>
      </x:c>
      <x:c r="AK196" s="36" t="str">
        <x:f>IF(P196="","",P196)</x:f>
      </x:c>
      <x:c r="AL196" s="36" t="str">
        <x:f>IF(R196="","",TEXT(R196,"yyyymmddhhmmss")&amp;"-"&amp;S196&amp;"-"&amp;TEXT(ROW()-4,"0000"))</x:f>
      </x:c>
      <x:c r="AM196" s="36" t="str">
        <x:f>IF(R196="","",IF(T196="KOD HATALI","Öğrenci Kodu Hatalı",IF(OR(V196="",W196="",X196="",Y196="",Z196="",AF196="",AG196="",AJ196="",AK196=""),"Eksik Zorunlu Alan",IF(OR(Y196&lt;0,Z196&lt;0,Z196&gt;Y196),"Soru Sayısı Hatası",IF(AND(AD196&lt;&gt;"",AD196&lt;V196),"Ödev Tarihi Hatası",IF(COUNTIF($AL$5:AL196,AL196)&gt;1,"Mükerrer Form Kaydı","Aktarıma Hazır"))))))</x:f>
      </x:c>
      <x:c r="AN196" s="30"/>
      <x:c r="AO196" s="40"/>
      <x:c r="AP196" s="30"/>
    </x:row>
    <x:row r="197">
      <x:c r="A197" s="158"/>
      <x:c r="B197" s="44"/>
      <x:c r="C197" s="40"/>
      <x:c r="D197" s="30"/>
      <x:c r="E197" s="30"/>
      <x:c r="F197" s="30"/>
      <x:c r="G197" s="30"/>
      <x:c r="H197" s="30"/>
      <x:c r="I197" s="40"/>
      <x:c r="J197" s="30"/>
      <x:c r="K197" s="30"/>
      <x:c r="L197" s="30"/>
      <x:c r="M197" s="30"/>
      <x:c r="N197" s="30"/>
      <x:c r="O197" s="30"/>
      <x:c r="P197" s="30"/>
      <x:c r="R197" s="160" t="str">
        <x:f>IF(A197="","",A197)</x:f>
      </x:c>
      <x:c r="S197" s="126" t="str">
        <x:f>IF(B197="","",B197)</x:f>
      </x:c>
      <x:c r="T197" s="36" t="str">
        <x:f>IF(S197="","",IFERROR(INDEX('02_Öğrenciler'!$B$5:$B$203,MATCH(S197,'02_Öğrenciler'!$A$5:$A$203,0)),"KOD HATALI"))</x:f>
      </x:c>
      <x:c r="U197" s="36" t="str">
        <x:f>IF(S197="","",IFERROR(INDEX('02_Öğrenciler'!$C$5:$C$203,MATCH(S197,'02_Öğrenciler'!$A$5:$A$203,0)),""))</x:f>
      </x:c>
      <x:c r="V197" s="132" t="str">
        <x:f>IF(C197="","",C197)</x:f>
      </x:c>
      <x:c r="W197" s="36" t="str">
        <x:f>IF(D197="","",D197)</x:f>
      </x:c>
      <x:c r="X197" s="36" t="str">
        <x:f>IF(E197="","",E197)</x:f>
      </x:c>
      <x:c r="Y197" s="36" t="str">
        <x:f>IF(F197="","",F197)</x:f>
      </x:c>
      <x:c r="Z197" s="36" t="str">
        <x:f>IF(G197="","",G197)</x:f>
      </x:c>
      <x:c r="AA197" s="36" t="str">
        <x:f>IF(OR(Y197="",Z197=""),"",Y197-Z197)</x:f>
      </x:c>
      <x:c r="AB197" s="52" t="str">
        <x:f>IF(OR(Y197="",Z197=""),"",IFERROR(Z197/Y197,0))</x:f>
      </x:c>
      <x:c r="AC197" s="36" t="str">
        <x:f>IF(H197="","",H197)</x:f>
      </x:c>
      <x:c r="AD197" s="132" t="str">
        <x:f>IF(I197="","",I197)</x:f>
      </x:c>
      <x:c r="AE197" s="36" t="str">
        <x:f>IF(J197="","",J197)</x:f>
      </x:c>
      <x:c r="AF197" s="36" t="str">
        <x:f>IF(K197="","",K197)</x:f>
      </x:c>
      <x:c r="AG197" s="36" t="str">
        <x:f>IF(L197="","",L197)</x:f>
      </x:c>
      <x:c r="AH197" s="36" t="str">
        <x:f>IF(M197="","",M197)</x:f>
      </x:c>
      <x:c r="AI197" s="36" t="str">
        <x:f>IF(N197="","",N197)</x:f>
      </x:c>
      <x:c r="AJ197" s="36" t="str">
        <x:f>IF(O197="","",O197)</x:f>
      </x:c>
      <x:c r="AK197" s="36" t="str">
        <x:f>IF(P197="","",P197)</x:f>
      </x:c>
      <x:c r="AL197" s="36" t="str">
        <x:f>IF(R197="","",TEXT(R197,"yyyymmddhhmmss")&amp;"-"&amp;S197&amp;"-"&amp;TEXT(ROW()-4,"0000"))</x:f>
      </x:c>
      <x:c r="AM197" s="36" t="str">
        <x:f>IF(R197="","",IF(T197="KOD HATALI","Öğrenci Kodu Hatalı",IF(OR(V197="",W197="",X197="",Y197="",Z197="",AF197="",AG197="",AJ197="",AK197=""),"Eksik Zorunlu Alan",IF(OR(Y197&lt;0,Z197&lt;0,Z197&gt;Y197),"Soru Sayısı Hatası",IF(AND(AD197&lt;&gt;"",AD197&lt;V197),"Ödev Tarihi Hatası",IF(COUNTIF($AL$5:AL197,AL197)&gt;1,"Mükerrer Form Kaydı","Aktarıma Hazır"))))))</x:f>
      </x:c>
      <x:c r="AN197" s="30"/>
      <x:c r="AO197" s="40"/>
      <x:c r="AP197" s="30"/>
    </x:row>
    <x:row r="198">
      <x:c r="A198" s="158"/>
      <x:c r="B198" s="44"/>
      <x:c r="C198" s="40"/>
      <x:c r="D198" s="30"/>
      <x:c r="E198" s="30"/>
      <x:c r="F198" s="30"/>
      <x:c r="G198" s="30"/>
      <x:c r="H198" s="30"/>
      <x:c r="I198" s="40"/>
      <x:c r="J198" s="30"/>
      <x:c r="K198" s="30"/>
      <x:c r="L198" s="30"/>
      <x:c r="M198" s="30"/>
      <x:c r="N198" s="30"/>
      <x:c r="O198" s="30"/>
      <x:c r="P198" s="30"/>
      <x:c r="R198" s="160" t="str">
        <x:f>IF(A198="","",A198)</x:f>
      </x:c>
      <x:c r="S198" s="126" t="str">
        <x:f>IF(B198="","",B198)</x:f>
      </x:c>
      <x:c r="T198" s="36" t="str">
        <x:f>IF(S198="","",IFERROR(INDEX('02_Öğrenciler'!$B$5:$B$203,MATCH(S198,'02_Öğrenciler'!$A$5:$A$203,0)),"KOD HATALI"))</x:f>
      </x:c>
      <x:c r="U198" s="36" t="str">
        <x:f>IF(S198="","",IFERROR(INDEX('02_Öğrenciler'!$C$5:$C$203,MATCH(S198,'02_Öğrenciler'!$A$5:$A$203,0)),""))</x:f>
      </x:c>
      <x:c r="V198" s="132" t="str">
        <x:f>IF(C198="","",C198)</x:f>
      </x:c>
      <x:c r="W198" s="36" t="str">
        <x:f>IF(D198="","",D198)</x:f>
      </x:c>
      <x:c r="X198" s="36" t="str">
        <x:f>IF(E198="","",E198)</x:f>
      </x:c>
      <x:c r="Y198" s="36" t="str">
        <x:f>IF(F198="","",F198)</x:f>
      </x:c>
      <x:c r="Z198" s="36" t="str">
        <x:f>IF(G198="","",G198)</x:f>
      </x:c>
      <x:c r="AA198" s="36" t="str">
        <x:f>IF(OR(Y198="",Z198=""),"",Y198-Z198)</x:f>
      </x:c>
      <x:c r="AB198" s="52" t="str">
        <x:f>IF(OR(Y198="",Z198=""),"",IFERROR(Z198/Y198,0))</x:f>
      </x:c>
      <x:c r="AC198" s="36" t="str">
        <x:f>IF(H198="","",H198)</x:f>
      </x:c>
      <x:c r="AD198" s="132" t="str">
        <x:f>IF(I198="","",I198)</x:f>
      </x:c>
      <x:c r="AE198" s="36" t="str">
        <x:f>IF(J198="","",J198)</x:f>
      </x:c>
      <x:c r="AF198" s="36" t="str">
        <x:f>IF(K198="","",K198)</x:f>
      </x:c>
      <x:c r="AG198" s="36" t="str">
        <x:f>IF(L198="","",L198)</x:f>
      </x:c>
      <x:c r="AH198" s="36" t="str">
        <x:f>IF(M198="","",M198)</x:f>
      </x:c>
      <x:c r="AI198" s="36" t="str">
        <x:f>IF(N198="","",N198)</x:f>
      </x:c>
      <x:c r="AJ198" s="36" t="str">
        <x:f>IF(O198="","",O198)</x:f>
      </x:c>
      <x:c r="AK198" s="36" t="str">
        <x:f>IF(P198="","",P198)</x:f>
      </x:c>
      <x:c r="AL198" s="36" t="str">
        <x:f>IF(R198="","",TEXT(R198,"yyyymmddhhmmss")&amp;"-"&amp;S198&amp;"-"&amp;TEXT(ROW()-4,"0000"))</x:f>
      </x:c>
      <x:c r="AM198" s="36" t="str">
        <x:f>IF(R198="","",IF(T198="KOD HATALI","Öğrenci Kodu Hatalı",IF(OR(V198="",W198="",X198="",Y198="",Z198="",AF198="",AG198="",AJ198="",AK198=""),"Eksik Zorunlu Alan",IF(OR(Y198&lt;0,Z198&lt;0,Z198&gt;Y198),"Soru Sayısı Hatası",IF(AND(AD198&lt;&gt;"",AD198&lt;V198),"Ödev Tarihi Hatası",IF(COUNTIF($AL$5:AL198,AL198)&gt;1,"Mükerrer Form Kaydı","Aktarıma Hazır"))))))</x:f>
      </x:c>
      <x:c r="AN198" s="30"/>
      <x:c r="AO198" s="40"/>
      <x:c r="AP198" s="30"/>
    </x:row>
    <x:row r="199">
      <x:c r="A199" s="158"/>
      <x:c r="B199" s="44"/>
      <x:c r="C199" s="40"/>
      <x:c r="D199" s="30"/>
      <x:c r="E199" s="30"/>
      <x:c r="F199" s="30"/>
      <x:c r="G199" s="30"/>
      <x:c r="H199" s="30"/>
      <x:c r="I199" s="40"/>
      <x:c r="J199" s="30"/>
      <x:c r="K199" s="30"/>
      <x:c r="L199" s="30"/>
      <x:c r="M199" s="30"/>
      <x:c r="N199" s="30"/>
      <x:c r="O199" s="30"/>
      <x:c r="P199" s="30"/>
      <x:c r="R199" s="160" t="str">
        <x:f>IF(A199="","",A199)</x:f>
      </x:c>
      <x:c r="S199" s="126" t="str">
        <x:f>IF(B199="","",B199)</x:f>
      </x:c>
      <x:c r="T199" s="36" t="str">
        <x:f>IF(S199="","",IFERROR(INDEX('02_Öğrenciler'!$B$5:$B$203,MATCH(S199,'02_Öğrenciler'!$A$5:$A$203,0)),"KOD HATALI"))</x:f>
      </x:c>
      <x:c r="U199" s="36" t="str">
        <x:f>IF(S199="","",IFERROR(INDEX('02_Öğrenciler'!$C$5:$C$203,MATCH(S199,'02_Öğrenciler'!$A$5:$A$203,0)),""))</x:f>
      </x:c>
      <x:c r="V199" s="132" t="str">
        <x:f>IF(C199="","",C199)</x:f>
      </x:c>
      <x:c r="W199" s="36" t="str">
        <x:f>IF(D199="","",D199)</x:f>
      </x:c>
      <x:c r="X199" s="36" t="str">
        <x:f>IF(E199="","",E199)</x:f>
      </x:c>
      <x:c r="Y199" s="36" t="str">
        <x:f>IF(F199="","",F199)</x:f>
      </x:c>
      <x:c r="Z199" s="36" t="str">
        <x:f>IF(G199="","",G199)</x:f>
      </x:c>
      <x:c r="AA199" s="36" t="str">
        <x:f>IF(OR(Y199="",Z199=""),"",Y199-Z199)</x:f>
      </x:c>
      <x:c r="AB199" s="52" t="str">
        <x:f>IF(OR(Y199="",Z199=""),"",IFERROR(Z199/Y199,0))</x:f>
      </x:c>
      <x:c r="AC199" s="36" t="str">
        <x:f>IF(H199="","",H199)</x:f>
      </x:c>
      <x:c r="AD199" s="132" t="str">
        <x:f>IF(I199="","",I199)</x:f>
      </x:c>
      <x:c r="AE199" s="36" t="str">
        <x:f>IF(J199="","",J199)</x:f>
      </x:c>
      <x:c r="AF199" s="36" t="str">
        <x:f>IF(K199="","",K199)</x:f>
      </x:c>
      <x:c r="AG199" s="36" t="str">
        <x:f>IF(L199="","",L199)</x:f>
      </x:c>
      <x:c r="AH199" s="36" t="str">
        <x:f>IF(M199="","",M199)</x:f>
      </x:c>
      <x:c r="AI199" s="36" t="str">
        <x:f>IF(N199="","",N199)</x:f>
      </x:c>
      <x:c r="AJ199" s="36" t="str">
        <x:f>IF(O199="","",O199)</x:f>
      </x:c>
      <x:c r="AK199" s="36" t="str">
        <x:f>IF(P199="","",P199)</x:f>
      </x:c>
      <x:c r="AL199" s="36" t="str">
        <x:f>IF(R199="","",TEXT(R199,"yyyymmddhhmmss")&amp;"-"&amp;S199&amp;"-"&amp;TEXT(ROW()-4,"0000"))</x:f>
      </x:c>
      <x:c r="AM199" s="36" t="str">
        <x:f>IF(R199="","",IF(T199="KOD HATALI","Öğrenci Kodu Hatalı",IF(OR(V199="",W199="",X199="",Y199="",Z199="",AF199="",AG199="",AJ199="",AK199=""),"Eksik Zorunlu Alan",IF(OR(Y199&lt;0,Z199&lt;0,Z199&gt;Y199),"Soru Sayısı Hatası",IF(AND(AD199&lt;&gt;"",AD199&lt;V199),"Ödev Tarihi Hatası",IF(COUNTIF($AL$5:AL199,AL199)&gt;1,"Mükerrer Form Kaydı","Aktarıma Hazır"))))))</x:f>
      </x:c>
      <x:c r="AN199" s="30"/>
      <x:c r="AO199" s="40"/>
      <x:c r="AP199" s="30"/>
    </x:row>
    <x:row r="200">
      <x:c r="A200" s="158"/>
      <x:c r="B200" s="44"/>
      <x:c r="C200" s="40"/>
      <x:c r="D200" s="30"/>
      <x:c r="E200" s="30"/>
      <x:c r="F200" s="30"/>
      <x:c r="G200" s="30"/>
      <x:c r="H200" s="30"/>
      <x:c r="I200" s="40"/>
      <x:c r="J200" s="30"/>
      <x:c r="K200" s="30"/>
      <x:c r="L200" s="30"/>
      <x:c r="M200" s="30"/>
      <x:c r="N200" s="30"/>
      <x:c r="O200" s="30"/>
      <x:c r="P200" s="30"/>
      <x:c r="R200" s="160" t="str">
        <x:f>IF(A200="","",A200)</x:f>
      </x:c>
      <x:c r="S200" s="126" t="str">
        <x:f>IF(B200="","",B200)</x:f>
      </x:c>
      <x:c r="T200" s="36" t="str">
        <x:f>IF(S200="","",IFERROR(INDEX('02_Öğrenciler'!$B$5:$B$203,MATCH(S200,'02_Öğrenciler'!$A$5:$A$203,0)),"KOD HATALI"))</x:f>
      </x:c>
      <x:c r="U200" s="36" t="str">
        <x:f>IF(S200="","",IFERROR(INDEX('02_Öğrenciler'!$C$5:$C$203,MATCH(S200,'02_Öğrenciler'!$A$5:$A$203,0)),""))</x:f>
      </x:c>
      <x:c r="V200" s="132" t="str">
        <x:f>IF(C200="","",C200)</x:f>
      </x:c>
      <x:c r="W200" s="36" t="str">
        <x:f>IF(D200="","",D200)</x:f>
      </x:c>
      <x:c r="X200" s="36" t="str">
        <x:f>IF(E200="","",E200)</x:f>
      </x:c>
      <x:c r="Y200" s="36" t="str">
        <x:f>IF(F200="","",F200)</x:f>
      </x:c>
      <x:c r="Z200" s="36" t="str">
        <x:f>IF(G200="","",G200)</x:f>
      </x:c>
      <x:c r="AA200" s="36" t="str">
        <x:f>IF(OR(Y200="",Z200=""),"",Y200-Z200)</x:f>
      </x:c>
      <x:c r="AB200" s="52" t="str">
        <x:f>IF(OR(Y200="",Z200=""),"",IFERROR(Z200/Y200,0))</x:f>
      </x:c>
      <x:c r="AC200" s="36" t="str">
        <x:f>IF(H200="","",H200)</x:f>
      </x:c>
      <x:c r="AD200" s="132" t="str">
        <x:f>IF(I200="","",I200)</x:f>
      </x:c>
      <x:c r="AE200" s="36" t="str">
        <x:f>IF(J200="","",J200)</x:f>
      </x:c>
      <x:c r="AF200" s="36" t="str">
        <x:f>IF(K200="","",K200)</x:f>
      </x:c>
      <x:c r="AG200" s="36" t="str">
        <x:f>IF(L200="","",L200)</x:f>
      </x:c>
      <x:c r="AH200" s="36" t="str">
        <x:f>IF(M200="","",M200)</x:f>
      </x:c>
      <x:c r="AI200" s="36" t="str">
        <x:f>IF(N200="","",N200)</x:f>
      </x:c>
      <x:c r="AJ200" s="36" t="str">
        <x:f>IF(O200="","",O200)</x:f>
      </x:c>
      <x:c r="AK200" s="36" t="str">
        <x:f>IF(P200="","",P200)</x:f>
      </x:c>
      <x:c r="AL200" s="36" t="str">
        <x:f>IF(R200="","",TEXT(R200,"yyyymmddhhmmss")&amp;"-"&amp;S200&amp;"-"&amp;TEXT(ROW()-4,"0000"))</x:f>
      </x:c>
      <x:c r="AM200" s="36" t="str">
        <x:f>IF(R200="","",IF(T200="KOD HATALI","Öğrenci Kodu Hatalı",IF(OR(V200="",W200="",X200="",Y200="",Z200="",AF200="",AG200="",AJ200="",AK200=""),"Eksik Zorunlu Alan",IF(OR(Y200&lt;0,Z200&lt;0,Z200&gt;Y200),"Soru Sayısı Hatası",IF(AND(AD200&lt;&gt;"",AD200&lt;V200),"Ödev Tarihi Hatası",IF(COUNTIF($AL$5:AL200,AL200)&gt;1,"Mükerrer Form Kaydı","Aktarıma Hazır"))))))</x:f>
      </x:c>
      <x:c r="AN200" s="30"/>
      <x:c r="AO200" s="40"/>
      <x:c r="AP200" s="30"/>
    </x:row>
    <x:row r="201">
      <x:c r="A201" s="158"/>
      <x:c r="B201" s="44"/>
      <x:c r="C201" s="40"/>
      <x:c r="D201" s="30"/>
      <x:c r="E201" s="30"/>
      <x:c r="F201" s="30"/>
      <x:c r="G201" s="30"/>
      <x:c r="H201" s="30"/>
      <x:c r="I201" s="40"/>
      <x:c r="J201" s="30"/>
      <x:c r="K201" s="30"/>
      <x:c r="L201" s="30"/>
      <x:c r="M201" s="30"/>
      <x:c r="N201" s="30"/>
      <x:c r="O201" s="30"/>
      <x:c r="P201" s="30"/>
      <x:c r="R201" s="160" t="str">
        <x:f>IF(A201="","",A201)</x:f>
      </x:c>
      <x:c r="S201" s="126" t="str">
        <x:f>IF(B201="","",B201)</x:f>
      </x:c>
      <x:c r="T201" s="36" t="str">
        <x:f>IF(S201="","",IFERROR(INDEX('02_Öğrenciler'!$B$5:$B$203,MATCH(S201,'02_Öğrenciler'!$A$5:$A$203,0)),"KOD HATALI"))</x:f>
      </x:c>
      <x:c r="U201" s="36" t="str">
        <x:f>IF(S201="","",IFERROR(INDEX('02_Öğrenciler'!$C$5:$C$203,MATCH(S201,'02_Öğrenciler'!$A$5:$A$203,0)),""))</x:f>
      </x:c>
      <x:c r="V201" s="132" t="str">
        <x:f>IF(C201="","",C201)</x:f>
      </x:c>
      <x:c r="W201" s="36" t="str">
        <x:f>IF(D201="","",D201)</x:f>
      </x:c>
      <x:c r="X201" s="36" t="str">
        <x:f>IF(E201="","",E201)</x:f>
      </x:c>
      <x:c r="Y201" s="36" t="str">
        <x:f>IF(F201="","",F201)</x:f>
      </x:c>
      <x:c r="Z201" s="36" t="str">
        <x:f>IF(G201="","",G201)</x:f>
      </x:c>
      <x:c r="AA201" s="36" t="str">
        <x:f>IF(OR(Y201="",Z201=""),"",Y201-Z201)</x:f>
      </x:c>
      <x:c r="AB201" s="52" t="str">
        <x:f>IF(OR(Y201="",Z201=""),"",IFERROR(Z201/Y201,0))</x:f>
      </x:c>
      <x:c r="AC201" s="36" t="str">
        <x:f>IF(H201="","",H201)</x:f>
      </x:c>
      <x:c r="AD201" s="132" t="str">
        <x:f>IF(I201="","",I201)</x:f>
      </x:c>
      <x:c r="AE201" s="36" t="str">
        <x:f>IF(J201="","",J201)</x:f>
      </x:c>
      <x:c r="AF201" s="36" t="str">
        <x:f>IF(K201="","",K201)</x:f>
      </x:c>
      <x:c r="AG201" s="36" t="str">
        <x:f>IF(L201="","",L201)</x:f>
      </x:c>
      <x:c r="AH201" s="36" t="str">
        <x:f>IF(M201="","",M201)</x:f>
      </x:c>
      <x:c r="AI201" s="36" t="str">
        <x:f>IF(N201="","",N201)</x:f>
      </x:c>
      <x:c r="AJ201" s="36" t="str">
        <x:f>IF(O201="","",O201)</x:f>
      </x:c>
      <x:c r="AK201" s="36" t="str">
        <x:f>IF(P201="","",P201)</x:f>
      </x:c>
      <x:c r="AL201" s="36" t="str">
        <x:f>IF(R201="","",TEXT(R201,"yyyymmddhhmmss")&amp;"-"&amp;S201&amp;"-"&amp;TEXT(ROW()-4,"0000"))</x:f>
      </x:c>
      <x:c r="AM201" s="36" t="str">
        <x:f>IF(R201="","",IF(T201="KOD HATALI","Öğrenci Kodu Hatalı",IF(OR(V201="",W201="",X201="",Y201="",Z201="",AF201="",AG201="",AJ201="",AK201=""),"Eksik Zorunlu Alan",IF(OR(Y201&lt;0,Z201&lt;0,Z201&gt;Y201),"Soru Sayısı Hatası",IF(AND(AD201&lt;&gt;"",AD201&lt;V201),"Ödev Tarihi Hatası",IF(COUNTIF($AL$5:AL201,AL201)&gt;1,"Mükerrer Form Kaydı","Aktarıma Hazır"))))))</x:f>
      </x:c>
      <x:c r="AN201" s="30"/>
      <x:c r="AO201" s="40"/>
      <x:c r="AP201" s="30"/>
    </x:row>
    <x:row r="202">
      <x:c r="A202" s="158"/>
      <x:c r="B202" s="44"/>
      <x:c r="C202" s="40"/>
      <x:c r="D202" s="30"/>
      <x:c r="E202" s="30"/>
      <x:c r="F202" s="30"/>
      <x:c r="G202" s="30"/>
      <x:c r="H202" s="30"/>
      <x:c r="I202" s="40"/>
      <x:c r="J202" s="30"/>
      <x:c r="K202" s="30"/>
      <x:c r="L202" s="30"/>
      <x:c r="M202" s="30"/>
      <x:c r="N202" s="30"/>
      <x:c r="O202" s="30"/>
      <x:c r="P202" s="30"/>
      <x:c r="R202" s="160" t="str">
        <x:f>IF(A202="","",A202)</x:f>
      </x:c>
      <x:c r="S202" s="126" t="str">
        <x:f>IF(B202="","",B202)</x:f>
      </x:c>
      <x:c r="T202" s="36" t="str">
        <x:f>IF(S202="","",IFERROR(INDEX('02_Öğrenciler'!$B$5:$B$203,MATCH(S202,'02_Öğrenciler'!$A$5:$A$203,0)),"KOD HATALI"))</x:f>
      </x:c>
      <x:c r="U202" s="36" t="str">
        <x:f>IF(S202="","",IFERROR(INDEX('02_Öğrenciler'!$C$5:$C$203,MATCH(S202,'02_Öğrenciler'!$A$5:$A$203,0)),""))</x:f>
      </x:c>
      <x:c r="V202" s="132" t="str">
        <x:f>IF(C202="","",C202)</x:f>
      </x:c>
      <x:c r="W202" s="36" t="str">
        <x:f>IF(D202="","",D202)</x:f>
      </x:c>
      <x:c r="X202" s="36" t="str">
        <x:f>IF(E202="","",E202)</x:f>
      </x:c>
      <x:c r="Y202" s="36" t="str">
        <x:f>IF(F202="","",F202)</x:f>
      </x:c>
      <x:c r="Z202" s="36" t="str">
        <x:f>IF(G202="","",G202)</x:f>
      </x:c>
      <x:c r="AA202" s="36" t="str">
        <x:f>IF(OR(Y202="",Z202=""),"",Y202-Z202)</x:f>
      </x:c>
      <x:c r="AB202" s="52" t="str">
        <x:f>IF(OR(Y202="",Z202=""),"",IFERROR(Z202/Y202,0))</x:f>
      </x:c>
      <x:c r="AC202" s="36" t="str">
        <x:f>IF(H202="","",H202)</x:f>
      </x:c>
      <x:c r="AD202" s="132" t="str">
        <x:f>IF(I202="","",I202)</x:f>
      </x:c>
      <x:c r="AE202" s="36" t="str">
        <x:f>IF(J202="","",J202)</x:f>
      </x:c>
      <x:c r="AF202" s="36" t="str">
        <x:f>IF(K202="","",K202)</x:f>
      </x:c>
      <x:c r="AG202" s="36" t="str">
        <x:f>IF(L202="","",L202)</x:f>
      </x:c>
      <x:c r="AH202" s="36" t="str">
        <x:f>IF(M202="","",M202)</x:f>
      </x:c>
      <x:c r="AI202" s="36" t="str">
        <x:f>IF(N202="","",N202)</x:f>
      </x:c>
      <x:c r="AJ202" s="36" t="str">
        <x:f>IF(O202="","",O202)</x:f>
      </x:c>
      <x:c r="AK202" s="36" t="str">
        <x:f>IF(P202="","",P202)</x:f>
      </x:c>
      <x:c r="AL202" s="36" t="str">
        <x:f>IF(R202="","",TEXT(R202,"yyyymmddhhmmss")&amp;"-"&amp;S202&amp;"-"&amp;TEXT(ROW()-4,"0000"))</x:f>
      </x:c>
      <x:c r="AM202" s="36" t="str">
        <x:f>IF(R202="","",IF(T202="KOD HATALI","Öğrenci Kodu Hatalı",IF(OR(V202="",W202="",X202="",Y202="",Z202="",AF202="",AG202="",AJ202="",AK202=""),"Eksik Zorunlu Alan",IF(OR(Y202&lt;0,Z202&lt;0,Z202&gt;Y202),"Soru Sayısı Hatası",IF(AND(AD202&lt;&gt;"",AD202&lt;V202),"Ödev Tarihi Hatası",IF(COUNTIF($AL$5:AL202,AL202)&gt;1,"Mükerrer Form Kaydı","Aktarıma Hazır"))))))</x:f>
      </x:c>
      <x:c r="AN202" s="30"/>
      <x:c r="AO202" s="40"/>
      <x:c r="AP202" s="30"/>
    </x:row>
    <x:row r="203">
      <x:c r="A203" s="158"/>
      <x:c r="B203" s="44"/>
      <x:c r="C203" s="40"/>
      <x:c r="D203" s="30"/>
      <x:c r="E203" s="30"/>
      <x:c r="F203" s="30"/>
      <x:c r="G203" s="30"/>
      <x:c r="H203" s="30"/>
      <x:c r="I203" s="40"/>
      <x:c r="J203" s="30"/>
      <x:c r="K203" s="30"/>
      <x:c r="L203" s="30"/>
      <x:c r="M203" s="30"/>
      <x:c r="N203" s="30"/>
      <x:c r="O203" s="30"/>
      <x:c r="P203" s="30"/>
      <x:c r="R203" s="160" t="str">
        <x:f>IF(A203="","",A203)</x:f>
      </x:c>
      <x:c r="S203" s="126" t="str">
        <x:f>IF(B203="","",B203)</x:f>
      </x:c>
      <x:c r="T203" s="36" t="str">
        <x:f>IF(S203="","",IFERROR(INDEX('02_Öğrenciler'!$B$5:$B$203,MATCH(S203,'02_Öğrenciler'!$A$5:$A$203,0)),"KOD HATALI"))</x:f>
      </x:c>
      <x:c r="U203" s="36" t="str">
        <x:f>IF(S203="","",IFERROR(INDEX('02_Öğrenciler'!$C$5:$C$203,MATCH(S203,'02_Öğrenciler'!$A$5:$A$203,0)),""))</x:f>
      </x:c>
      <x:c r="V203" s="132" t="str">
        <x:f>IF(C203="","",C203)</x:f>
      </x:c>
      <x:c r="W203" s="36" t="str">
        <x:f>IF(D203="","",D203)</x:f>
      </x:c>
      <x:c r="X203" s="36" t="str">
        <x:f>IF(E203="","",E203)</x:f>
      </x:c>
      <x:c r="Y203" s="36" t="str">
        <x:f>IF(F203="","",F203)</x:f>
      </x:c>
      <x:c r="Z203" s="36" t="str">
        <x:f>IF(G203="","",G203)</x:f>
      </x:c>
      <x:c r="AA203" s="36" t="str">
        <x:f>IF(OR(Y203="",Z203=""),"",Y203-Z203)</x:f>
      </x:c>
      <x:c r="AB203" s="52" t="str">
        <x:f>IF(OR(Y203="",Z203=""),"",IFERROR(Z203/Y203,0))</x:f>
      </x:c>
      <x:c r="AC203" s="36" t="str">
        <x:f>IF(H203="","",H203)</x:f>
      </x:c>
      <x:c r="AD203" s="132" t="str">
        <x:f>IF(I203="","",I203)</x:f>
      </x:c>
      <x:c r="AE203" s="36" t="str">
        <x:f>IF(J203="","",J203)</x:f>
      </x:c>
      <x:c r="AF203" s="36" t="str">
        <x:f>IF(K203="","",K203)</x:f>
      </x:c>
      <x:c r="AG203" s="36" t="str">
        <x:f>IF(L203="","",L203)</x:f>
      </x:c>
      <x:c r="AH203" s="36" t="str">
        <x:f>IF(M203="","",M203)</x:f>
      </x:c>
      <x:c r="AI203" s="36" t="str">
        <x:f>IF(N203="","",N203)</x:f>
      </x:c>
      <x:c r="AJ203" s="36" t="str">
        <x:f>IF(O203="","",O203)</x:f>
      </x:c>
      <x:c r="AK203" s="36" t="str">
        <x:f>IF(P203="","",P203)</x:f>
      </x:c>
      <x:c r="AL203" s="36" t="str">
        <x:f>IF(R203="","",TEXT(R203,"yyyymmddhhmmss")&amp;"-"&amp;S203&amp;"-"&amp;TEXT(ROW()-4,"0000"))</x:f>
      </x:c>
      <x:c r="AM203" s="36" t="str">
        <x:f>IF(R203="","",IF(T203="KOD HATALI","Öğrenci Kodu Hatalı",IF(OR(V203="",W203="",X203="",Y203="",Z203="",AF203="",AG203="",AJ203="",AK203=""),"Eksik Zorunlu Alan",IF(OR(Y203&lt;0,Z203&lt;0,Z203&gt;Y203),"Soru Sayısı Hatası",IF(AND(AD203&lt;&gt;"",AD203&lt;V203),"Ödev Tarihi Hatası",IF(COUNTIF($AL$5:AL203,AL203)&gt;1,"Mükerrer Form Kaydı","Aktarıma Hazır"))))))</x:f>
      </x:c>
      <x:c r="AN203" s="30"/>
      <x:c r="AO203" s="40"/>
      <x:c r="AP203" s="30"/>
    </x:row>
    <x:row r="204">
      <x:c r="A204" s="158"/>
      <x:c r="B204" s="44"/>
      <x:c r="C204" s="40"/>
      <x:c r="D204" s="30"/>
      <x:c r="E204" s="30"/>
      <x:c r="F204" s="30"/>
      <x:c r="G204" s="30"/>
      <x:c r="H204" s="30"/>
      <x:c r="I204" s="40"/>
      <x:c r="J204" s="30"/>
      <x:c r="K204" s="30"/>
      <x:c r="L204" s="30"/>
      <x:c r="M204" s="30"/>
      <x:c r="N204" s="30"/>
      <x:c r="O204" s="30"/>
      <x:c r="P204" s="30"/>
      <x:c r="R204" s="160" t="str">
        <x:f>IF(A204="","",A204)</x:f>
      </x:c>
      <x:c r="S204" s="126" t="str">
        <x:f>IF(B204="","",B204)</x:f>
      </x:c>
      <x:c r="T204" s="36" t="str">
        <x:f>IF(S204="","",IFERROR(INDEX('02_Öğrenciler'!$B$5:$B$203,MATCH(S204,'02_Öğrenciler'!$A$5:$A$203,0)),"KOD HATALI"))</x:f>
      </x:c>
      <x:c r="U204" s="36" t="str">
        <x:f>IF(S204="","",IFERROR(INDEX('02_Öğrenciler'!$C$5:$C$203,MATCH(S204,'02_Öğrenciler'!$A$5:$A$203,0)),""))</x:f>
      </x:c>
      <x:c r="V204" s="132" t="str">
        <x:f>IF(C204="","",C204)</x:f>
      </x:c>
      <x:c r="W204" s="36" t="str">
        <x:f>IF(D204="","",D204)</x:f>
      </x:c>
      <x:c r="X204" s="36" t="str">
        <x:f>IF(E204="","",E204)</x:f>
      </x:c>
      <x:c r="Y204" s="36" t="str">
        <x:f>IF(F204="","",F204)</x:f>
      </x:c>
      <x:c r="Z204" s="36" t="str">
        <x:f>IF(G204="","",G204)</x:f>
      </x:c>
      <x:c r="AA204" s="36" t="str">
        <x:f>IF(OR(Y204="",Z204=""),"",Y204-Z204)</x:f>
      </x:c>
      <x:c r="AB204" s="52" t="str">
        <x:f>IF(OR(Y204="",Z204=""),"",IFERROR(Z204/Y204,0))</x:f>
      </x:c>
      <x:c r="AC204" s="36" t="str">
        <x:f>IF(H204="","",H204)</x:f>
      </x:c>
      <x:c r="AD204" s="132" t="str">
        <x:f>IF(I204="","",I204)</x:f>
      </x:c>
      <x:c r="AE204" s="36" t="str">
        <x:f>IF(J204="","",J204)</x:f>
      </x:c>
      <x:c r="AF204" s="36" t="str">
        <x:f>IF(K204="","",K204)</x:f>
      </x:c>
      <x:c r="AG204" s="36" t="str">
        <x:f>IF(L204="","",L204)</x:f>
      </x:c>
      <x:c r="AH204" s="36" t="str">
        <x:f>IF(M204="","",M204)</x:f>
      </x:c>
      <x:c r="AI204" s="36" t="str">
        <x:f>IF(N204="","",N204)</x:f>
      </x:c>
      <x:c r="AJ204" s="36" t="str">
        <x:f>IF(O204="","",O204)</x:f>
      </x:c>
      <x:c r="AK204" s="36" t="str">
        <x:f>IF(P204="","",P204)</x:f>
      </x:c>
      <x:c r="AL204" s="36" t="str">
        <x:f>IF(R204="","",TEXT(R204,"yyyymmddhhmmss")&amp;"-"&amp;S204&amp;"-"&amp;TEXT(ROW()-4,"0000"))</x:f>
      </x:c>
      <x:c r="AM204" s="36" t="str">
        <x:f>IF(R204="","",IF(T204="KOD HATALI","Öğrenci Kodu Hatalı",IF(OR(V204="",W204="",X204="",Y204="",Z204="",AF204="",AG204="",AJ204="",AK204=""),"Eksik Zorunlu Alan",IF(OR(Y204&lt;0,Z204&lt;0,Z204&gt;Y204),"Soru Sayısı Hatası",IF(AND(AD204&lt;&gt;"",AD204&lt;V204),"Ödev Tarihi Hatası",IF(COUNTIF($AL$5:AL204,AL204)&gt;1,"Mükerrer Form Kaydı","Aktarıma Hazır"))))))</x:f>
      </x:c>
      <x:c r="AN204" s="30"/>
      <x:c r="AO204" s="40"/>
      <x:c r="AP204" s="30"/>
    </x:row>
  </x:sheetData>
  <x:mergeCells>
    <x:mergeCell ref="A1:AP1"/>
    <x:mergeCell ref="A2:AP2"/>
  </x:mergeCells>
  <x:conditionalFormatting sqref="AM5:AM204">
    <x:cfRule type="expression" dxfId="22" priority="1">
      <x:formula>AM5="Aktarıma Hazır"</x:formula>
    </x:cfRule>
    <x:cfRule type="expression" dxfId="23" priority="2">
      <x:formula>AND(AM5&lt;&gt;"",AM5&lt;&gt;"Aktarıma Hazır")</x:formula>
    </x:cfRule>
  </x:conditionalFormatting>
  <x:dataValidations count="2">
    <x:dataValidation operator="between" sqref="B5:B204">
      <x:formula1>1</x:formula1>
      <x:formula2>9999</x:formula2>
    </x:dataValidation>
    <x:dataValidation type="list" sqref="AN5:AN204">
      <x:formula1>"Bekliyor,Aktarıldı,Hata,İptal"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4f1722f724e749f3"/>
    <x:tablePart xmlns:r="http://schemas.openxmlformats.org/officeDocument/2006/relationships" r:id="R869c56d8da4346c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4" hidden="0" customWidth="1"/>
    <x:col min="4" max="4" width="14" hidden="0" customWidth="1"/>
    <x:col min="5" max="5" width="14" hidden="0" customWidth="1"/>
    <x:col min="6" max="6" width="12" hidden="0" customWidth="1"/>
    <x:col min="7" max="7" width="36" hidden="0" customWidth="1"/>
    <x:col min="8" max="8" width="28" hidden="0" customWidth="1"/>
    <x:col min="9" max="9" width="16" hidden="0" customWidth="1"/>
    <x:col min="10" max="10" width="34" hidden="0" customWidth="1"/>
  </x:cols>
  <x:sheetData>
    <x:row r="1" ht="26" customHeight="1">
      <x:c r="A1" s="5" t="str">
        <x:v>GOOGLE FORMS / SHEETS KURULUM REHBERİ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3" t="str">
        <x:v>Soru listesi, kurulum planı ve veri sözlüğü tek sayfadadır.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4">
      <x:c r="A4" s="62" t="str">
        <x:v>FORM SORULARI</x:v>
      </x:c>
      <x:c r="B4" s="62"/>
      <x:c r="C4" s="62"/>
      <x:c r="D4" s="62"/>
      <x:c r="E4" s="62"/>
      <x:c r="F4" s="62"/>
      <x:c r="G4" s="62"/>
      <x:c r="H4" s="62"/>
      <x:c r="I4" s="62"/>
      <x:c r="J4" s="62"/>
    </x:row>
    <x:row r="5">
      <x:c r="A5" s="22" t="str">
        <x:v>Sıra</x:v>
      </x:c>
      <x:c r="B5" s="22" t="str">
        <x:v>Bölüm</x:v>
      </x:c>
      <x:c r="C5" s="22" t="str">
        <x:v>Soru Başlığı</x:v>
      </x:c>
      <x:c r="D5" s="22" t="str">
        <x:v>Soru Türü</x:v>
      </x:c>
      <x:c r="E5" s="22" t="str">
        <x:v>Zorunlu</x:v>
      </x:c>
      <x:c r="F5" s="22" t="str">
        <x:v>Seçenek / Doğrulama</x:v>
      </x:c>
      <x:c r="G5" s="22" t="str">
        <x:v>Yanıt Sütunu</x:v>
      </x:c>
      <x:c r="H5" s="22" t="str">
        <x:v>Excel Hedefi</x:v>
      </x:c>
      <x:c r="I5" s="22" t="str">
        <x:v>Not</x:v>
      </x:c>
      <x:c r="J5" s="22" t="str">
        <x:v>Durum</x:v>
      </x:c>
    </x:row>
    <x:row r="6">
      <x:c r="A6" s="163" t="n">
        <x:v>1</x:v>
      </x:c>
      <x:c r="B6" s="163" t="str">
        <x:v>Öğrenci</x:v>
      </x:c>
      <x:c r="C6" s="163" t="str">
        <x:v>Öğrenci Kodu</x:v>
      </x:c>
      <x:c r="D6" s="163" t="str">
        <x:v>Kısa yanıt</x:v>
      </x:c>
      <x:c r="E6" s="163" t="str">
        <x:v>Evet</x:v>
      </x:c>
      <x:c r="F6" s="163" t="str">
        <x:v>Tam sayı 1-9999</x:v>
      </x:c>
      <x:c r="G6" s="163" t="str">
        <x:v>B</x:v>
      </x:c>
      <x:c r="H6" s="163" t="str">
        <x:v>Ders / Öğrenci Kodu</x:v>
      </x:c>
      <x:c r="I6" s="163" t="str">
        <x:v>Kod düz sayıdır</x:v>
      </x:c>
      <x:c r="J6" s="163" t="str">
        <x:v>Hazır</x:v>
      </x:c>
    </x:row>
    <x:row r="7">
      <x:c r="A7" s="163" t="n">
        <x:v>2</x:v>
      </x:c>
      <x:c r="B7" s="163" t="str">
        <x:v>Ders</x:v>
      </x:c>
      <x:c r="C7" s="163" t="str">
        <x:v>Ders Tarihi</x:v>
      </x:c>
      <x:c r="D7" s="163" t="str">
        <x:v>Tarih</x:v>
      </x:c>
      <x:c r="E7" s="163" t="str">
        <x:v>Evet</x:v>
      </x:c>
      <x:c r="F7" s="163" t="str">
        <x:v>Geçerli tarih</x:v>
      </x:c>
      <x:c r="G7" s="163" t="str">
        <x:v>C</x:v>
      </x:c>
      <x:c r="H7" s="163" t="str">
        <x:v>Ders / Tarih</x:v>
      </x:c>
      <x:c r="I7" s="163" t="str"/>
      <x:c r="J7" s="163" t="str">
        <x:v>Hazır</x:v>
      </x:c>
    </x:row>
    <x:row r="8">
      <x:c r="A8" s="163" t="n">
        <x:v>3</x:v>
      </x:c>
      <x:c r="B8" s="163" t="str">
        <x:v>Ders</x:v>
      </x:c>
      <x:c r="C8" s="163" t="str">
        <x:v>Ders</x:v>
      </x:c>
      <x:c r="D8" s="163" t="str">
        <x:v>Açılır liste</x:v>
      </x:c>
      <x:c r="E8" s="163" t="str">
        <x:v>Evet</x:v>
      </x:c>
      <x:c r="F8" s="163" t="str">
        <x:v>Ders listesi</x:v>
      </x:c>
      <x:c r="G8" s="163" t="str">
        <x:v>D</x:v>
      </x:c>
      <x:c r="H8" s="163" t="str">
        <x:v>Ders / Ders</x:v>
      </x:c>
      <x:c r="I8" s="163" t="str"/>
      <x:c r="J8" s="163" t="str">
        <x:v>Hazır</x:v>
      </x:c>
    </x:row>
    <x:row r="9">
      <x:c r="A9" s="163" t="n">
        <x:v>4</x:v>
      </x:c>
      <x:c r="B9" s="163" t="str">
        <x:v>Ders</x:v>
      </x:c>
      <x:c r="C9" s="163" t="str">
        <x:v>İşlenen Konu</x:v>
      </x:c>
      <x:c r="D9" s="163" t="str">
        <x:v>Kısa yanıt</x:v>
      </x:c>
      <x:c r="E9" s="163" t="str">
        <x:v>Evet</x:v>
      </x:c>
      <x:c r="F9" s="163" t="str">
        <x:v>En az 3 karakter</x:v>
      </x:c>
      <x:c r="G9" s="163" t="str">
        <x:v>E</x:v>
      </x:c>
      <x:c r="H9" s="163" t="str">
        <x:v>Ders / Konu</x:v>
      </x:c>
      <x:c r="I9" s="163" t="str"/>
      <x:c r="J9" s="163" t="str">
        <x:v>Hazır</x:v>
      </x:c>
    </x:row>
    <x:row r="10">
      <x:c r="A10" s="163" t="n">
        <x:v>5</x:v>
      </x:c>
      <x:c r="B10" s="163" t="str">
        <x:v>Soru</x:v>
      </x:c>
      <x:c r="C10" s="163" t="str">
        <x:v>Soru Sayısı</x:v>
      </x:c>
      <x:c r="D10" s="163" t="str">
        <x:v>Kısa yanıt</x:v>
      </x:c>
      <x:c r="E10" s="163" t="str">
        <x:v>Evet</x:v>
      </x:c>
      <x:c r="F10" s="163" t="str">
        <x:v>Sayı ≥ 0</x:v>
      </x:c>
      <x:c r="G10" s="163" t="str">
        <x:v>F</x:v>
      </x:c>
      <x:c r="H10" s="163" t="str">
        <x:v>Ders / Soru Sayısı</x:v>
      </x:c>
      <x:c r="I10" s="163" t="str"/>
      <x:c r="J10" s="163" t="str">
        <x:v>Hazır</x:v>
      </x:c>
    </x:row>
    <x:row r="11">
      <x:c r="A11" s="163" t="n">
        <x:v>6</x:v>
      </x:c>
      <x:c r="B11" s="163" t="str">
        <x:v>Soru</x:v>
      </x:c>
      <x:c r="C11" s="163" t="str">
        <x:v>Doğru</x:v>
      </x:c>
      <x:c r="D11" s="163" t="str">
        <x:v>Kısa yanıt</x:v>
      </x:c>
      <x:c r="E11" s="163" t="str">
        <x:v>Evet</x:v>
      </x:c>
      <x:c r="F11" s="163" t="str">
        <x:v>0 ≤ Doğru ≤ Soru</x:v>
      </x:c>
      <x:c r="G11" s="163" t="str">
        <x:v>G</x:v>
      </x:c>
      <x:c r="H11" s="163" t="str">
        <x:v>Ders / Doğru</x:v>
      </x:c>
      <x:c r="I11" s="163" t="str"/>
      <x:c r="J11" s="163" t="str">
        <x:v>Hazır</x:v>
      </x:c>
    </x:row>
    <x:row r="12">
      <x:c r="A12" s="163" t="n">
        <x:v>7</x:v>
      </x:c>
      <x:c r="B12" s="163" t="str">
        <x:v>Ödev</x:v>
      </x:c>
      <x:c r="C12" s="163" t="str">
        <x:v>Verilen Ödev</x:v>
      </x:c>
      <x:c r="D12" s="163" t="str">
        <x:v>Paragraf</x:v>
      </x:c>
      <x:c r="E12" s="163" t="str">
        <x:v>Hayır</x:v>
      </x:c>
      <x:c r="F12" s="163" t="str">
        <x:v>Serbest metin</x:v>
      </x:c>
      <x:c r="G12" s="163" t="str">
        <x:v>H</x:v>
      </x:c>
      <x:c r="H12" s="163" t="str">
        <x:v>Ders / Ödev</x:v>
      </x:c>
      <x:c r="I12" s="163" t="str"/>
      <x:c r="J12" s="163" t="str">
        <x:v>Hazır</x:v>
      </x:c>
    </x:row>
    <x:row r="13">
      <x:c r="A13" s="163" t="n">
        <x:v>8</x:v>
      </x:c>
      <x:c r="B13" s="163" t="str">
        <x:v>Ödev</x:v>
      </x:c>
      <x:c r="C13" s="163" t="str">
        <x:v>Ödev Son Tarihi</x:v>
      </x:c>
      <x:c r="D13" s="163" t="str">
        <x:v>Tarih</x:v>
      </x:c>
      <x:c r="E13" s="163" t="str">
        <x:v>Hayır</x:v>
      </x:c>
      <x:c r="F13" s="163" t="str">
        <x:v>Ders tarihinden önce olamaz</x:v>
      </x:c>
      <x:c r="G13" s="163" t="str">
        <x:v>I</x:v>
      </x:c>
      <x:c r="H13" s="163" t="str">
        <x:v>Ödev / Son Tarih</x:v>
      </x:c>
      <x:c r="I13" s="163" t="str"/>
      <x:c r="J13" s="163" t="str">
        <x:v>Hazır</x:v>
      </x:c>
    </x:row>
    <x:row r="14">
      <x:c r="A14" s="163" t="n">
        <x:v>9</x:v>
      </x:c>
      <x:c r="B14" s="163" t="str">
        <x:v>Ödev</x:v>
      </x:c>
      <x:c r="C14" s="163" t="str">
        <x:v>Önceki Ödev Durumu</x:v>
      </x:c>
      <x:c r="D14" s="163" t="str">
        <x:v>Açılır liste</x:v>
      </x:c>
      <x:c r="E14" s="163" t="str">
        <x:v>Hayır</x:v>
      </x:c>
      <x:c r="F14" s="163" t="str">
        <x:v>Ödev durumları</x:v>
      </x:c>
      <x:c r="G14" s="163" t="str">
        <x:v>J</x:v>
      </x:c>
      <x:c r="H14" s="163" t="str">
        <x:v>Ödev / Durum</x:v>
      </x:c>
      <x:c r="I14" s="163" t="str"/>
      <x:c r="J14" s="163" t="str">
        <x:v>Hazır</x:v>
      </x:c>
    </x:row>
    <x:row r="15">
      <x:c r="A15" s="163" t="n">
        <x:v>10</x:v>
      </x:c>
      <x:c r="B15" s="163" t="str">
        <x:v>Konu</x:v>
      </x:c>
      <x:c r="C15" s="163" t="str">
        <x:v>Konu Durumu</x:v>
      </x:c>
      <x:c r="D15" s="163" t="str">
        <x:v>Açılır liste</x:v>
      </x:c>
      <x:c r="E15" s="163" t="str">
        <x:v>Evet</x:v>
      </x:c>
      <x:c r="F15" s="163" t="str">
        <x:v>Konu durumları</x:v>
      </x:c>
      <x:c r="G15" s="163" t="str">
        <x:v>K</x:v>
      </x:c>
      <x:c r="H15" s="163" t="str">
        <x:v>Konu / Durum</x:v>
      </x:c>
      <x:c r="I15" s="163" t="str"/>
      <x:c r="J15" s="163" t="str">
        <x:v>Hazır</x:v>
      </x:c>
    </x:row>
    <x:row r="16">
      <x:c r="A16" s="163" t="n">
        <x:v>11</x:v>
      </x:c>
      <x:c r="B16" s="163" t="str">
        <x:v>Değerlendirme</x:v>
      </x:c>
      <x:c r="C16" s="163" t="str">
        <x:v>Standart Ders Notu</x:v>
      </x:c>
      <x:c r="D16" s="163" t="str">
        <x:v>Açılır liste</x:v>
      </x:c>
      <x:c r="E16" s="163" t="str">
        <x:v>Evet</x:v>
      </x:c>
      <x:c r="F16" s="163" t="str">
        <x:v>Ders notları</x:v>
      </x:c>
      <x:c r="G16" s="163" t="str">
        <x:v>L</x:v>
      </x:c>
      <x:c r="H16" s="163" t="str">
        <x:v>Ders / Standart Not</x:v>
      </x:c>
      <x:c r="I16" s="163" t="str"/>
      <x:c r="J16" s="163" t="str">
        <x:v>Hazır</x:v>
      </x:c>
    </x:row>
    <x:row r="17">
      <x:c r="A17" s="163" t="n">
        <x:v>12</x:v>
      </x:c>
      <x:c r="B17" s="163" t="str">
        <x:v>Değerlendirme</x:v>
      </x:c>
      <x:c r="C17" s="163" t="str">
        <x:v>Özel Öğretmen Notu</x:v>
      </x:c>
      <x:c r="D17" s="163" t="str">
        <x:v>Paragraf</x:v>
      </x:c>
      <x:c r="E17" s="163" t="str">
        <x:v>Hayır</x:v>
      </x:c>
      <x:c r="F17" s="163" t="str">
        <x:v>Serbest metin</x:v>
      </x:c>
      <x:c r="G17" s="163" t="str">
        <x:v>M</x:v>
      </x:c>
      <x:c r="H17" s="163" t="str">
        <x:v>Ders / Özel Not</x:v>
      </x:c>
      <x:c r="I17" s="163" t="str"/>
      <x:c r="J17" s="163" t="str">
        <x:v>Hazır</x:v>
      </x:c>
    </x:row>
    <x:row r="18">
      <x:c r="A18" s="163" t="n">
        <x:v>13</x:v>
      </x:c>
      <x:c r="B18" s="163" t="str">
        <x:v>Plan</x:v>
      </x:c>
      <x:c r="C18" s="163" t="str">
        <x:v>Sonraki Ders Hedefi</x:v>
      </x:c>
      <x:c r="D18" s="163" t="str">
        <x:v>Paragraf</x:v>
      </x:c>
      <x:c r="E18" s="163" t="str">
        <x:v>Hayır</x:v>
      </x:c>
      <x:c r="F18" s="163" t="str">
        <x:v>Serbest metin</x:v>
      </x:c>
      <x:c r="G18" s="163" t="str">
        <x:v>N</x:v>
      </x:c>
      <x:c r="H18" s="163" t="str">
        <x:v>Program / Hedef</x:v>
      </x:c>
      <x:c r="I18" s="163" t="str"/>
      <x:c r="J18" s="163" t="str">
        <x:v>Hazır</x:v>
      </x:c>
    </x:row>
    <x:row r="19">
      <x:c r="A19" s="163" t="n">
        <x:v>14</x:v>
      </x:c>
      <x:c r="B19" s="163" t="str">
        <x:v>Ders</x:v>
      </x:c>
      <x:c r="C19" s="163" t="str">
        <x:v>Ders Süresi</x:v>
      </x:c>
      <x:c r="D19" s="163" t="str">
        <x:v>Açılır liste</x:v>
      </x:c>
      <x:c r="E19" s="163" t="str">
        <x:v>Evet</x:v>
      </x:c>
      <x:c r="F19" s="163" t="str">
        <x:v>40;50;60;75;90</x:v>
      </x:c>
      <x:c r="G19" s="163" t="str">
        <x:v>O</x:v>
      </x:c>
      <x:c r="H19" s="163" t="str">
        <x:v>Ders / Süre</x:v>
      </x:c>
      <x:c r="I19" s="163" t="str"/>
      <x:c r="J19" s="163" t="str">
        <x:v>Hazır</x:v>
      </x:c>
    </x:row>
    <x:row r="20">
      <x:c r="A20" s="163" t="n">
        <x:v>15</x:v>
      </x:c>
      <x:c r="B20" s="163" t="str">
        <x:v>İletişim</x:v>
      </x:c>
      <x:c r="C20" s="163" t="str">
        <x:v>Veli Bilgilendirmesi</x:v>
      </x:c>
      <x:c r="D20" s="163" t="str">
        <x:v>Çoktan seçmeli</x:v>
      </x:c>
      <x:c r="E20" s="163" t="str">
        <x:v>Evet</x:v>
      </x:c>
      <x:c r="F20" s="163" t="str">
        <x:v>Hayır;Evet</x:v>
      </x:c>
      <x:c r="G20" s="163" t="str">
        <x:v>P</x:v>
      </x:c>
      <x:c r="H20" s="163" t="str">
        <x:v>Veli takip</x:v>
      </x:c>
      <x:c r="I20" s="163" t="str"/>
      <x:c r="J20" s="163" t="str">
        <x:v>Hazır</x:v>
      </x:c>
    </x:row>
    <x:row r="23">
      <x:c r="A23" s="62" t="str">
        <x:v>KURULUM VE HAFTALIK İŞLEYİŞ</x:v>
      </x:c>
      <x:c r="B23" s="62"/>
      <x:c r="C23" s="62"/>
      <x:c r="D23" s="62"/>
      <x:c r="E23" s="62"/>
      <x:c r="F23" s="62"/>
      <x:c r="G23" s="62"/>
      <x:c r="H23" s="62"/>
    </x:row>
    <x:row r="24">
      <x:c r="A24" s="22" t="str">
        <x:v>Faz</x:v>
      </x:c>
      <x:c r="B24" s="22" t="str">
        <x:v>İşlem</x:v>
      </x:c>
      <x:c r="C24" s="22" t="str">
        <x:v>Uygulama</x:v>
      </x:c>
      <x:c r="D24" s="22" t="str">
        <x:v>Kontrol</x:v>
      </x:c>
      <x:c r="E24" s="22" t="str">
        <x:v>Sorumlu</x:v>
      </x:c>
      <x:c r="F24" s="22" t="str">
        <x:v>Sıklık</x:v>
      </x:c>
      <x:c r="G24" s="22" t="str">
        <x:v>Çıktı</x:v>
      </x:c>
      <x:c r="H24" s="22" t="str">
        <x:v>Durum</x:v>
      </x:c>
    </x:row>
    <x:row r="25">
      <x:c r="A25" s="163" t="str">
        <x:v>0</x:v>
      </x:c>
      <x:c r="B25" s="163" t="str">
        <x:v>Yedekleme</x:v>
      </x:c>
      <x:c r="C25" s="163" t="str">
        <x:v>Excel ana dosyasını sakla.</x:v>
      </x:c>
      <x:c r="D25" s="163" t="str">
        <x:v>Dosya adı/tarih</x:v>
      </x:c>
      <x:c r="E25" s="163" t="str">
        <x:v>Bilgehan</x:v>
      </x:c>
      <x:c r="F25" s="163" t="str">
        <x:v>Bir kez</x:v>
      </x:c>
      <x:c r="G25" s="163" t="str">
        <x:v>Ana yedek</x:v>
      </x:c>
      <x:c r="H25" s="163" t="str">
        <x:v>Hazır</x:v>
      </x:c>
    </x:row>
    <x:row r="26">
      <x:c r="A26" s="163" t="str">
        <x:v>1</x:v>
      </x:c>
      <x:c r="B26" s="163" t="str">
        <x:v>Drive</x:v>
      </x:c>
      <x:c r="C26" s="163" t="str">
        <x:v>Dosyayı Google Drive'a yükle.</x:v>
      </x:c>
      <x:c r="D26" s="163" t="str">
        <x:v>10 sayfa görünmeli</x:v>
      </x:c>
      <x:c r="E26" s="163" t="str">
        <x:v>Bilgehan</x:v>
      </x:c>
      <x:c r="F26" s="163" t="str">
        <x:v>Bir kez</x:v>
      </x:c>
      <x:c r="G26" s="163" t="str">
        <x:v>Sheets kopyası</x:v>
      </x:c>
      <x:c r="H26" s="163" t="str">
        <x:v>Planlandı</x:v>
      </x:c>
    </x:row>
    <x:row r="27">
      <x:c r="A27" s="163" t="str">
        <x:v>2</x:v>
      </x:c>
      <x:c r="B27" s="163" t="str">
        <x:v>Form</x:v>
      </x:c>
      <x:c r="C27" s="163" t="str">
        <x:v>15 soruyu aynı başlıklarla oluştur.</x:v>
      </x:c>
      <x:c r="D27" s="163" t="str">
        <x:v>Zorunlu alanlar</x:v>
      </x:c>
      <x:c r="E27" s="163" t="str">
        <x:v>Edanur/Bilgehan</x:v>
      </x:c>
      <x:c r="F27" s="163" t="str">
        <x:v>Bir kez</x:v>
      </x:c>
      <x:c r="G27" s="163" t="str">
        <x:v>Ders Formu</x:v>
      </x:c>
      <x:c r="H27" s="163" t="str">
        <x:v>Planlandı</x:v>
      </x:c>
    </x:row>
    <x:row r="28">
      <x:c r="A28" s="163" t="str">
        <x:v>3</x:v>
      </x:c>
      <x:c r="B28" s="163" t="str">
        <x:v>Bağlama</x:v>
      </x:c>
      <x:c r="C28" s="163" t="str">
        <x:v>Formu Google Sheets'e bağla.</x:v>
      </x:c>
      <x:c r="D28" s="163" t="str">
        <x:v>Yanıt başlıkları</x:v>
      </x:c>
      <x:c r="E28" s="163" t="str">
        <x:v>Bilgehan</x:v>
      </x:c>
      <x:c r="F28" s="163" t="str">
        <x:v>Bir kez</x:v>
      </x:c>
      <x:c r="G28" s="163" t="str">
        <x:v>Canlı yanıt</x:v>
      </x:c>
      <x:c r="H28" s="163" t="str">
        <x:v>Planlandı</x:v>
      </x:c>
    </x:row>
    <x:row r="29">
      <x:c r="A29" s="163" t="str">
        <x:v>4</x:v>
      </x:c>
      <x:c r="B29" s="163" t="str">
        <x:v>Pilot</x:v>
      </x:c>
      <x:c r="C29" s="163" t="str">
        <x:v>Kod 1 ile deneme gönder.</x:v>
      </x:c>
      <x:c r="D29" s="163" t="str">
        <x:v>Aktarıma Hazır</x:v>
      </x:c>
      <x:c r="E29" s="163" t="str">
        <x:v>Bilgehan</x:v>
      </x:c>
      <x:c r="F29" s="163" t="str">
        <x:v>Bir kez</x:v>
      </x:c>
      <x:c r="G29" s="163" t="str">
        <x:v>Pilot kayıt</x:v>
      </x:c>
      <x:c r="H29" s="163" t="str">
        <x:v>Planlandı</x:v>
      </x:c>
    </x:row>
    <x:row r="30">
      <x:c r="A30" s="163" t="str">
        <x:v>5</x:v>
      </x:c>
      <x:c r="B30" s="163" t="str">
        <x:v>Günlük</x:v>
      </x:c>
      <x:c r="C30" s="163" t="str">
        <x:v>Her ders sonunda form doldur.</x:v>
      </x:c>
      <x:c r="D30" s="163" t="str">
        <x:v>30-60 saniye</x:v>
      </x:c>
      <x:c r="E30" s="163" t="str">
        <x:v>Edanur</x:v>
      </x:c>
      <x:c r="F30" s="163" t="str">
        <x:v>Her ders</x:v>
      </x:c>
      <x:c r="G30" s="163" t="str">
        <x:v>Ham yanıt</x:v>
      </x:c>
      <x:c r="H30" s="163" t="str">
        <x:v>Planlandı</x:v>
      </x:c>
    </x:row>
    <x:row r="31">
      <x:c r="A31" s="163" t="str">
        <x:v>6</x:v>
      </x:c>
      <x:c r="B31" s="163" t="str">
        <x:v>Kontrol</x:v>
      </x:c>
      <x:c r="C31" s="163" t="str">
        <x:v>Aktarıma Hazır kayıtları filtrele.</x:v>
      </x:c>
      <x:c r="D31" s="163" t="str">
        <x:v>Hatalı kayıt alınmaz</x:v>
      </x:c>
      <x:c r="E31" s="163" t="str">
        <x:v>Bilgehan</x:v>
      </x:c>
      <x:c r="F31" s="163" t="str">
        <x:v>Haftalık</x:v>
      </x:c>
      <x:c r="G31" s="163" t="str">
        <x:v>Onaylı liste</x:v>
      </x:c>
      <x:c r="H31" s="163" t="str">
        <x:v>Planlandı</x:v>
      </x:c>
    </x:row>
    <x:row r="32">
      <x:c r="A32" s="163" t="str">
        <x:v>7</x:v>
      </x:c>
      <x:c r="B32" s="163" t="str">
        <x:v>Aktarım</x:v>
      </x:c>
      <x:c r="C32" s="163" t="str">
        <x:v>Onaylı kayıtları Excel'e ekle.</x:v>
      </x:c>
      <x:c r="D32" s="163" t="str">
        <x:v>Kayıt ID taşınır</x:v>
      </x:c>
      <x:c r="E32" s="163" t="str">
        <x:v>Bilgehan</x:v>
      </x:c>
      <x:c r="F32" s="163" t="str">
        <x:v>Haftalık</x:v>
      </x:c>
      <x:c r="G32" s="163" t="str">
        <x:v>Güncel Excel</x:v>
      </x:c>
      <x:c r="H32" s="163" t="str">
        <x:v>Planlandı</x:v>
      </x:c>
    </x:row>
    <x:row r="33">
      <x:c r="A33" s="163" t="str">
        <x:v>8</x:v>
      </x:c>
      <x:c r="B33" s="163" t="str">
        <x:v>Yedek</x:v>
      </x:c>
      <x:c r="C33" s="163" t="str">
        <x:v>Tarihli kopya oluştur.</x:v>
      </x:c>
      <x:c r="D33" s="163" t="str">
        <x:v>Önceki dosya korunur</x:v>
      </x:c>
      <x:c r="E33" s="163" t="str">
        <x:v>Bilgehan</x:v>
      </x:c>
      <x:c r="F33" s="163" t="str">
        <x:v>Haftalık</x:v>
      </x:c>
      <x:c r="G33" s="163" t="str">
        <x:v>Arşiv</x:v>
      </x:c>
      <x:c r="H33" s="163" t="str">
        <x:v>Planlandı</x:v>
      </x:c>
    </x:row>
    <x:row r="36">
      <x:c r="A36" s="62" t="str">
        <x:v>VERİ SÖZLÜĞÜ</x:v>
      </x:c>
      <x:c r="B36" s="62"/>
      <x:c r="C36" s="62"/>
      <x:c r="D36" s="62"/>
      <x:c r="E36" s="62"/>
      <x:c r="F36" s="62"/>
      <x:c r="G36" s="62"/>
      <x:c r="H36" s="62"/>
      <x:c r="I36" s="62"/>
      <x:c r="J36" s="62"/>
    </x:row>
    <x:row r="37">
      <x:c r="A37" s="22" t="str">
        <x:v>Varlık</x:v>
      </x:c>
      <x:c r="B37" s="22" t="str">
        <x:v>Sayfa</x:v>
      </x:c>
      <x:c r="C37" s="22" t="str">
        <x:v>Alan</x:v>
      </x:c>
      <x:c r="D37" s="22" t="str">
        <x:v>Tip</x:v>
      </x:c>
      <x:c r="E37" s="22" t="str">
        <x:v>Zorunlu</x:v>
      </x:c>
      <x:c r="F37" s="22" t="str">
        <x:v>Tekil</x:v>
      </x:c>
      <x:c r="G37" s="22" t="str">
        <x:v>Kural</x:v>
      </x:c>
      <x:c r="H37" s="22" t="str">
        <x:v>Form Alanı</x:v>
      </x:c>
      <x:c r="I37" s="22" t="str">
        <x:v>Yanıt Sütunu</x:v>
      </x:c>
      <x:c r="J37" s="22" t="str">
        <x:v>Açıklama</x:v>
      </x:c>
    </x:row>
    <x:row r="38">
      <x:c r="A38" s="163" t="str">
        <x:v>Öğrenci</x:v>
      </x:c>
      <x:c r="B38" s="163" t="str">
        <x:v>02_Öğrenciler</x:v>
      </x:c>
      <x:c r="C38" s="163" t="str">
        <x:v>Öğrenci Kodu</x:v>
      </x:c>
      <x:c r="D38" s="163" t="str">
        <x:v>Tam sayı</x:v>
      </x:c>
      <x:c r="E38" s="163" t="str">
        <x:v>Evet</x:v>
      </x:c>
      <x:c r="F38" s="163" t="str">
        <x:v>Evet</x:v>
      </x:c>
      <x:c r="G38" s="163" t="str">
        <x:v>1-9999; tekrar yok</x:v>
      </x:c>
      <x:c r="H38" s="163" t="str">
        <x:v>Öğrenci Kodu</x:v>
      </x:c>
      <x:c r="I38" s="163" t="str">
        <x:v>B</x:v>
      </x:c>
      <x:c r="J38" s="163" t="str">
        <x:v>Ana anahtar</x:v>
      </x:c>
    </x:row>
    <x:row r="39">
      <x:c r="A39" s="163" t="str">
        <x:v>Ders</x:v>
      </x:c>
      <x:c r="B39" s="163" t="str">
        <x:v>03_Ders_Girişi</x:v>
      </x:c>
      <x:c r="C39" s="163" t="str">
        <x:v>Tarih</x:v>
      </x:c>
      <x:c r="D39" s="163" t="str">
        <x:v>Tarih</x:v>
      </x:c>
      <x:c r="E39" s="163" t="str">
        <x:v>Evet</x:v>
      </x:c>
      <x:c r="F39" s="163" t="str">
        <x:v>Hayır</x:v>
      </x:c>
      <x:c r="G39" s="163" t="str">
        <x:v>2020 sonrası</x:v>
      </x:c>
      <x:c r="H39" s="163" t="str">
        <x:v>Ders Tarihi</x:v>
      </x:c>
      <x:c r="I39" s="163" t="str">
        <x:v>C</x:v>
      </x:c>
      <x:c r="J39" s="163" t="str">
        <x:v>Ders tarihi</x:v>
      </x:c>
    </x:row>
    <x:row r="40">
      <x:c r="A40" s="163" t="str">
        <x:v>Ders</x:v>
      </x:c>
      <x:c r="B40" s="163" t="str">
        <x:v>03_Ders_Girişi</x:v>
      </x:c>
      <x:c r="C40" s="163" t="str">
        <x:v>İşlenen Konu</x:v>
      </x:c>
      <x:c r="D40" s="163" t="str">
        <x:v>Metin</x:v>
      </x:c>
      <x:c r="E40" s="163" t="str">
        <x:v>Evet</x:v>
      </x:c>
      <x:c r="F40" s="163" t="str">
        <x:v>Hayır</x:v>
      </x:c>
      <x:c r="G40" s="163" t="str">
        <x:v>Boş olamaz</x:v>
      </x:c>
      <x:c r="H40" s="163" t="str">
        <x:v>İşlenen Konu</x:v>
      </x:c>
      <x:c r="I40" s="163" t="str">
        <x:v>E</x:v>
      </x:c>
      <x:c r="J40" s="163" t="str">
        <x:v>Konu</x:v>
      </x:c>
    </x:row>
    <x:row r="41">
      <x:c r="A41" s="163" t="str">
        <x:v>Ders</x:v>
      </x:c>
      <x:c r="B41" s="163" t="str">
        <x:v>03_Ders_Girişi</x:v>
      </x:c>
      <x:c r="C41" s="163" t="str">
        <x:v>Soru Sayısı</x:v>
      </x:c>
      <x:c r="D41" s="163" t="str">
        <x:v>Sayı</x:v>
      </x:c>
      <x:c r="E41" s="163" t="str">
        <x:v>Evet</x:v>
      </x:c>
      <x:c r="F41" s="163" t="str">
        <x:v>Hayır</x:v>
      </x:c>
      <x:c r="G41" s="163" t="str">
        <x:v>≥0</x:v>
      </x:c>
      <x:c r="H41" s="163" t="str">
        <x:v>Soru Sayısı</x:v>
      </x:c>
      <x:c r="I41" s="163" t="str">
        <x:v>F</x:v>
      </x:c>
      <x:c r="J41" s="163" t="str">
        <x:v>Toplam soru</x:v>
      </x:c>
    </x:row>
    <x:row r="42">
      <x:c r="A42" s="163" t="str">
        <x:v>Ders</x:v>
      </x:c>
      <x:c r="B42" s="163" t="str">
        <x:v>03_Ders_Girişi</x:v>
      </x:c>
      <x:c r="C42" s="163" t="str">
        <x:v>Doğru</x:v>
      </x:c>
      <x:c r="D42" s="163" t="str">
        <x:v>Sayı</x:v>
      </x:c>
      <x:c r="E42" s="163" t="str">
        <x:v>Evet</x:v>
      </x:c>
      <x:c r="F42" s="163" t="str">
        <x:v>Hayır</x:v>
      </x:c>
      <x:c r="G42" s="163" t="str">
        <x:v>0-Soru</x:v>
      </x:c>
      <x:c r="H42" s="163" t="str">
        <x:v>Doğru</x:v>
      </x:c>
      <x:c r="I42" s="163" t="str">
        <x:v>G</x:v>
      </x:c>
      <x:c r="J42" s="163" t="str">
        <x:v>Doğru</x:v>
      </x:c>
    </x:row>
    <x:row r="43">
      <x:c r="A43" s="163" t="str">
        <x:v>Ders</x:v>
      </x:c>
      <x:c r="B43" s="163" t="str">
        <x:v>03_Ders_Girişi</x:v>
      </x:c>
      <x:c r="C43" s="163" t="str">
        <x:v>Kayıt ID</x:v>
      </x:c>
      <x:c r="D43" s="163" t="str">
        <x:v>Metin</x:v>
      </x:c>
      <x:c r="E43" s="163" t="str">
        <x:v>Otomatik</x:v>
      </x:c>
      <x:c r="F43" s="163" t="str">
        <x:v>Evet</x:v>
      </x:c>
      <x:c r="G43" s="163" t="str">
        <x:v>Mükerrer olamaz</x:v>
      </x:c>
      <x:c r="H43" s="163" t="str">
        <x:v>Otomatik</x:v>
      </x:c>
      <x:c r="I43" s="163" t="str">
        <x:v>—</x:v>
      </x:c>
      <x:c r="J43" s="163" t="str">
        <x:v>Harici anahtar</x:v>
      </x:c>
    </x:row>
    <x:row r="44">
      <x:c r="A44" s="163" t="str">
        <x:v>Ödev</x:v>
      </x:c>
      <x:c r="B44" s="163" t="str">
        <x:v>04_Ödev_Konu</x:v>
      </x:c>
      <x:c r="C44" s="163" t="str">
        <x:v>Son Tarih</x:v>
      </x:c>
      <x:c r="D44" s="163" t="str">
        <x:v>Tarih</x:v>
      </x:c>
      <x:c r="E44" s="163" t="str">
        <x:v>Ödev varsa</x:v>
      </x:c>
      <x:c r="F44" s="163" t="str">
        <x:v>Hayır</x:v>
      </x:c>
      <x:c r="G44" s="163" t="str">
        <x:v>Verilişten önce olamaz</x:v>
      </x:c>
      <x:c r="H44" s="163" t="str">
        <x:v>Ödev Son Tarihi</x:v>
      </x:c>
      <x:c r="I44" s="163" t="str">
        <x:v>I</x:v>
      </x:c>
      <x:c r="J44" s="163" t="str">
        <x:v>Ödev tarihi</x:v>
      </x:c>
    </x:row>
    <x:row r="45">
      <x:c r="A45" s="163" t="str">
        <x:v>Konu</x:v>
      </x:c>
      <x:c r="B45" s="163" t="str">
        <x:v>04_Ödev_Konu</x:v>
      </x:c>
      <x:c r="C45" s="163" t="str">
        <x:v>Durum</x:v>
      </x:c>
      <x:c r="D45" s="163" t="str">
        <x:v>Liste</x:v>
      </x:c>
      <x:c r="E45" s="163" t="str">
        <x:v>Evet</x:v>
      </x:c>
      <x:c r="F45" s="163" t="str">
        <x:v>Hayır</x:v>
      </x:c>
      <x:c r="G45" s="163" t="str">
        <x:v>Parametre listesi</x:v>
      </x:c>
      <x:c r="H45" s="163" t="str">
        <x:v>Konu Durumu</x:v>
      </x:c>
      <x:c r="I45" s="163" t="str">
        <x:v>K</x:v>
      </x:c>
      <x:c r="J45" s="163" t="str">
        <x:v>İlerleme</x:v>
      </x:c>
    </x:row>
    <x:row r="46">
      <x:c r="A46" s="163" t="str">
        <x:v>Ödeme</x:v>
      </x:c>
      <x:c r="B46" s="163" t="str">
        <x:v>06_Veli_Ödeme</x:v>
      </x:c>
      <x:c r="C46" s="163" t="str">
        <x:v>Kalan Bakiye</x:v>
      </x:c>
      <x:c r="D46" s="163" t="str">
        <x:v>Para</x:v>
      </x:c>
      <x:c r="E46" s="163" t="str">
        <x:v>Otomatik</x:v>
      </x:c>
      <x:c r="F46" s="163" t="str">
        <x:v>Hayır</x:v>
      </x:c>
      <x:c r="G46" s="163" t="str">
        <x:v>Anlaşılan-Ödenen</x:v>
      </x:c>
      <x:c r="H46" s="163" t="str">
        <x:v>—</x:v>
      </x:c>
      <x:c r="I46" s="163" t="str">
        <x:v>—</x:v>
      </x:c>
      <x:c r="J46" s="163" t="str">
        <x:v>Tahsilat</x:v>
      </x:c>
    </x:row>
  </x:sheetData>
  <x:mergeCells>
    <x:mergeCell ref="A1:J1"/>
    <x:mergeCell ref="A2:J2"/>
    <x:mergeCell ref="A4:J4"/>
    <x:mergeCell ref="A23:H23"/>
    <x:mergeCell ref="A36:J36"/>
  </x:mergeCells>
  <x:dataValidations count="1">
    <x:dataValidation type="list" sqref="H25:H33">
      <x:formula1>"Hazır,Planlandı,Devam Ediyor,Tamamlandı,Bloke"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</x:cols>
  <x:sheetData>
    <x:row r="1" ht="26" customHeight="1">
      <x:c r="A1" s="5" t="str">
        <x:v>PARAMETRELER VE SEÇENEKLER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3" t="str">
        <x:v>Teknik sayfadır. Günlük kullanımda gerekmez.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>
      <x:c r="A4" s="22" t="str">
        <x:v>Sınıf</x:v>
      </x:c>
      <x:c r="B4" s="22" t="str">
        <x:v>Ders</x:v>
      </x:c>
      <x:c r="C4" s="22" t="str">
        <x:v>Seviye</x:v>
      </x:c>
      <x:c r="D4" s="22" t="str">
        <x:v>Aktiflik</x:v>
      </x:c>
      <x:c r="E4" s="22" t="str">
        <x:v>Konu Durumu</x:v>
      </x:c>
      <x:c r="F4" s="22" t="str">
        <x:v>Ödev Durumu</x:v>
      </x:c>
      <x:c r="G4" s="22" t="str">
        <x:v>Ders Notu</x:v>
      </x:c>
      <x:c r="H4" s="22" t="str">
        <x:v>Hata Türü</x:v>
      </x:c>
      <x:c r="I4" s="22" t="str">
        <x:v>Ödeme Durumu</x:v>
      </x:c>
      <x:c r="J4" s="22" t="str">
        <x:v>Program Durumu</x:v>
      </x:c>
      <x:c r="K4" s="22" t="str">
        <x:v>Kayıt Kaynağı</x:v>
      </x:c>
      <x:c r="L4" s="22" t="str">
        <x:v>Evet/Hayır</x:v>
      </x:c>
    </x:row>
    <x:row r="5">
      <x:c r="A5" t="str">
        <x:v>1. Sınıf</x:v>
      </x:c>
      <x:c r="B5" t="str">
        <x:v>Matematik</x:v>
      </x:c>
      <x:c r="C5" t="str">
        <x:v>Temel</x:v>
      </x:c>
      <x:c r="D5" t="str">
        <x:v>Aktif</x:v>
      </x:c>
      <x:c r="E5" t="str">
        <x:v>Başlanmadı</x:v>
      </x:c>
      <x:c r="F5" t="str">
        <x:v>Verildi</x:v>
      </x:c>
      <x:c r="G5" t="str">
        <x:v>Konuyu öğrendi</x:v>
      </x:c>
      <x:c r="H5" t="str">
        <x:v>Bilgi eksikliği</x:v>
      </x:c>
      <x:c r="I5" t="str">
        <x:v>Ödendi</x:v>
      </x:c>
      <x:c r="J5" t="str">
        <x:v>Planlandı</x:v>
      </x:c>
      <x:c r="K5" t="str">
        <x:v>Mevcut Kayıt</x:v>
      </x:c>
      <x:c r="L5" t="str">
        <x:v>Hayır</x:v>
      </x:c>
    </x:row>
    <x:row r="6">
      <x:c r="A6" t="str">
        <x:v>2. Sınıf</x:v>
      </x:c>
      <x:c r="B6" t="str">
        <x:v>Fen Bilimleri</x:v>
      </x:c>
      <x:c r="C6" t="str">
        <x:v>Orta</x:v>
      </x:c>
      <x:c r="D6" t="str">
        <x:v>Donduruldu</x:v>
      </x:c>
      <x:c r="E6" t="str">
        <x:v>Anlatıldı</x:v>
      </x:c>
      <x:c r="F6" t="str">
        <x:v>Tamamlandı</x:v>
      </x:c>
      <x:c r="G6" t="str">
        <x:v>Tekrar gerekli</x:v>
      </x:c>
      <x:c r="H6" t="str">
        <x:v>İşlem hatası</x:v>
      </x:c>
      <x:c r="I6" t="str">
        <x:v>Bekliyor</x:v>
      </x:c>
      <x:c r="J6" t="str">
        <x:v>Yapıldı</x:v>
      </x:c>
      <x:c r="K6" t="str">
        <x:v>Excel Girişi</x:v>
      </x:c>
      <x:c r="L6" t="str">
        <x:v>Evet</x:v>
      </x:c>
    </x:row>
    <x:row r="7">
      <x:c r="A7" t="str">
        <x:v>3. Sınıf</x:v>
      </x:c>
      <x:c r="B7" t="str">
        <x:v>Fizik</x:v>
      </x:c>
      <x:c r="C7" t="str">
        <x:v>İleri</x:v>
      </x:c>
      <x:c r="D7" t="str">
        <x:v>Bıraktı</x:v>
      </x:c>
      <x:c r="E7" t="str">
        <x:v>Soru çözülüyor</x:v>
      </x:c>
      <x:c r="F7" t="str">
        <x:v>Eksik</x:v>
      </x:c>
      <x:c r="G7" t="str">
        <x:v>İşlem hatası fazla</x:v>
      </x:c>
      <x:c r="H7" t="str">
        <x:v>Dikkat hatası</x:v>
      </x:c>
      <x:c r="I7" t="str">
        <x:v>Gecikmede</x:v>
      </x:c>
      <x:c r="J7" t="str">
        <x:v>İptal</x:v>
      </x:c>
      <x:c r="K7" t="str">
        <x:v>Google Form</x:v>
      </x:c>
    </x:row>
    <x:row r="8">
      <x:c r="A8" t="str">
        <x:v>4. Sınıf</x:v>
      </x:c>
      <x:c r="B8" t="str">
        <x:v>Kimya</x:v>
      </x:c>
      <x:c r="E8" t="str">
        <x:v>Tekrar gerekli</x:v>
      </x:c>
      <x:c r="F8" t="str">
        <x:v>Yapılmadı</x:v>
      </x:c>
      <x:c r="G8" t="str">
        <x:v>Dikkat sorunu</x:v>
      </x:c>
      <x:c r="H8" t="str">
        <x:v>Soruyu anlamama</x:v>
      </x:c>
      <x:c r="I8" t="str">
        <x:v>Kısmi Ödendi</x:v>
      </x:c>
      <x:c r="J8" t="str">
        <x:v>Ertelendi</x:v>
      </x:c>
      <x:c r="K8" t="str">
        <x:v>Google Sheets</x:v>
      </x:c>
    </x:row>
    <x:row r="9">
      <x:c r="A9" t="str">
        <x:v>5. Sınıf</x:v>
      </x:c>
      <x:c r="B9" t="str">
        <x:v>Biyoloji</x:v>
      </x:c>
      <x:c r="E9" t="str">
        <x:v>Tamamlandı</x:v>
      </x:c>
      <x:c r="F9" t="str">
        <x:v>Kontrol edildi</x:v>
      </x:c>
      <x:c r="G9" t="str">
        <x:v>Temel eksik</x:v>
      </x:c>
      <x:c r="H9" t="str">
        <x:v>Zaman yetiştirememe</x:v>
      </x:c>
      <x:c r="K9" t="str">
        <x:v>CSV İçe Aktarım</x:v>
      </x:c>
    </x:row>
    <x:row r="10">
      <x:c r="A10" t="str">
        <x:v>6. Sınıf</x:v>
      </x:c>
      <x:c r="B10" t="str">
        <x:v>Türkçe</x:v>
      </x:c>
      <x:c r="G10" t="str">
        <x:v>Ödev eksik</x:v>
      </x:c>
      <x:c r="H10" t="str">
        <x:v>Formül unutma</x:v>
      </x:c>
    </x:row>
    <x:row r="11">
      <x:c r="A11" t="str">
        <x:v>7. Sınıf</x:v>
      </x:c>
      <x:c r="B11" t="str">
        <x:v>Diğer</x:v>
      </x:c>
      <x:c r="G11" t="str">
        <x:v>Süre problemi</x:v>
      </x:c>
    </x:row>
    <x:row r="12">
      <x:c r="A12" t="str">
        <x:v>8. Sınıf</x:v>
      </x:c>
      <x:c r="G12" t="str">
        <x:v>Yeni nesil sorularda zorlanıyor</x:v>
      </x:c>
    </x:row>
    <x:row r="13">
      <x:c r="A13" t="str">
        <x:v>9. Sınıf</x:v>
      </x:c>
    </x:row>
    <x:row r="14">
      <x:c r="A14" t="str">
        <x:v>10. Sınıf</x:v>
      </x:c>
    </x:row>
    <x:row r="15">
      <x:c r="A15" t="str">
        <x:v>11. Sınıf</x:v>
      </x:c>
    </x:row>
    <x:row r="16">
      <x:c r="A16" t="str">
        <x:v>12. Sınıf</x:v>
      </x:c>
    </x:row>
  </x:sheetData>
  <x:mergeCells>
    <x:mergeCell ref="A1:L1"/>
    <x:mergeCell ref="A2:L2"/>
  </x:mergeCells>
  <x:pageMargins left="0.7" right="0.7" top="0.75" bottom="0.75" header="0.3" footer="0.3"/>
</x:worksheet>
</file>